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olvin.otieno\Downloads\"/>
    </mc:Choice>
  </mc:AlternateContent>
  <xr:revisionPtr revIDLastSave="0" documentId="8_{A1461AE1-6EC6-47E0-B0E2-3E16024D2081}" xr6:coauthVersionLast="47" xr6:coauthVersionMax="47" xr10:uidLastSave="{00000000-0000-0000-0000-000000000000}"/>
  <bookViews>
    <workbookView xWindow="-28920" yWindow="2070" windowWidth="29040" windowHeight="16440" firstSheet="4" activeTab="4" xr2:uid="{00000000-000D-0000-FFFF-FFFF00000000}"/>
  </bookViews>
  <sheets>
    <sheet name="Monthly Material Planning" sheetId="4" state="hidden" r:id="rId1"/>
    <sheet name="Weekly Material Planning" sheetId="5" state="hidden" r:id="rId2"/>
    <sheet name="Week 2" sheetId="6" state="hidden" r:id="rId3"/>
    <sheet name="Cumulative Material Use" sheetId="3" state="hidden" r:id="rId4"/>
    <sheet name="Master Data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5" i="2"/>
  <c r="Q16" i="2"/>
  <c r="Q17" i="2"/>
  <c r="Q18" i="2"/>
  <c r="Q19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8" i="2"/>
  <c r="R64" i="2" s="1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L4" i="5"/>
  <c r="P11" i="2" l="1"/>
  <c r="Q11" i="2" s="1"/>
  <c r="P14" i="2"/>
  <c r="Q14" i="2" s="1"/>
  <c r="P13" i="2"/>
  <c r="Q13" i="2" s="1"/>
  <c r="P12" i="2"/>
  <c r="Q12" i="2" s="1"/>
  <c r="P36" i="2"/>
  <c r="Q36" i="2" s="1"/>
  <c r="P37" i="2"/>
  <c r="E24" i="3"/>
  <c r="S43" i="2"/>
  <c r="S44" i="2"/>
  <c r="D85" i="5"/>
  <c r="D63" i="5"/>
  <c r="D41" i="5"/>
  <c r="D19" i="5"/>
  <c r="D25" i="4"/>
  <c r="D24" i="4"/>
  <c r="D23" i="4"/>
  <c r="D22" i="4"/>
  <c r="D26" i="5" s="1"/>
  <c r="D21" i="4"/>
  <c r="D69" i="5" s="1"/>
  <c r="D20" i="4"/>
  <c r="D24" i="5" s="1"/>
  <c r="D19" i="4"/>
  <c r="D89" i="5" s="1"/>
  <c r="D18" i="4"/>
  <c r="D17" i="4"/>
  <c r="D16" i="4"/>
  <c r="D64" i="5" s="1"/>
  <c r="D14" i="4"/>
  <c r="D18" i="5" s="1"/>
  <c r="D13" i="4"/>
  <c r="D12" i="4"/>
  <c r="D38" i="5" s="1"/>
  <c r="D11" i="4"/>
  <c r="D81" i="5" s="1"/>
  <c r="D10" i="4"/>
  <c r="D14" i="5" s="1"/>
  <c r="D9" i="4"/>
  <c r="D8" i="4"/>
  <c r="AA86" i="5"/>
  <c r="AA87" i="5"/>
  <c r="AA88" i="5"/>
  <c r="AA89" i="5"/>
  <c r="AA90" i="5"/>
  <c r="AA91" i="5"/>
  <c r="AA92" i="5"/>
  <c r="AA94" i="5"/>
  <c r="AA95" i="5"/>
  <c r="AA64" i="5"/>
  <c r="AA65" i="5"/>
  <c r="AA66" i="5"/>
  <c r="AA67" i="5"/>
  <c r="AA68" i="5"/>
  <c r="AA69" i="5"/>
  <c r="AA70" i="5"/>
  <c r="AA72" i="5"/>
  <c r="AA73" i="5"/>
  <c r="AA42" i="5"/>
  <c r="AA43" i="5"/>
  <c r="AA44" i="5"/>
  <c r="AA45" i="5"/>
  <c r="AA46" i="5"/>
  <c r="AA47" i="5"/>
  <c r="AA48" i="5"/>
  <c r="AA50" i="5"/>
  <c r="AA51" i="5"/>
  <c r="AA20" i="5"/>
  <c r="AA21" i="5"/>
  <c r="AA22" i="5"/>
  <c r="AA23" i="5"/>
  <c r="AA24" i="5"/>
  <c r="AA25" i="5"/>
  <c r="AA26" i="5"/>
  <c r="AA28" i="5"/>
  <c r="AA29" i="5"/>
  <c r="N86" i="5"/>
  <c r="N87" i="5"/>
  <c r="N88" i="5"/>
  <c r="N89" i="5"/>
  <c r="N90" i="5"/>
  <c r="N91" i="5"/>
  <c r="N92" i="5"/>
  <c r="N94" i="5"/>
  <c r="N95" i="5"/>
  <c r="N64" i="5"/>
  <c r="N65" i="5"/>
  <c r="N66" i="5"/>
  <c r="N67" i="5"/>
  <c r="N68" i="5"/>
  <c r="N69" i="5"/>
  <c r="N70" i="5"/>
  <c r="N72" i="5"/>
  <c r="N73" i="5"/>
  <c r="N42" i="5"/>
  <c r="N43" i="5"/>
  <c r="N44" i="5"/>
  <c r="N45" i="5"/>
  <c r="N46" i="5"/>
  <c r="N47" i="5"/>
  <c r="N48" i="5"/>
  <c r="N50" i="5"/>
  <c r="N51" i="5"/>
  <c r="N20" i="5"/>
  <c r="N21" i="5"/>
  <c r="N22" i="5"/>
  <c r="N23" i="5"/>
  <c r="N24" i="5"/>
  <c r="N25" i="5"/>
  <c r="N26" i="5"/>
  <c r="N28" i="5"/>
  <c r="N29" i="5"/>
  <c r="X16" i="4"/>
  <c r="X17" i="4"/>
  <c r="X18" i="4"/>
  <c r="X19" i="4"/>
  <c r="X20" i="4"/>
  <c r="X21" i="4"/>
  <c r="X22" i="4"/>
  <c r="X24" i="4"/>
  <c r="X25" i="4"/>
  <c r="M24" i="4"/>
  <c r="E42" i="3"/>
  <c r="H12" i="4" s="1"/>
  <c r="X12" i="4" s="1"/>
  <c r="E41" i="3"/>
  <c r="H15" i="4" s="1"/>
  <c r="X15" i="4" s="1"/>
  <c r="E40" i="3"/>
  <c r="H84" i="5" s="1"/>
  <c r="E39" i="3"/>
  <c r="H13" i="4" s="1"/>
  <c r="X13" i="4" s="1"/>
  <c r="E38" i="3"/>
  <c r="H57" i="5" s="1"/>
  <c r="E37" i="3"/>
  <c r="H93" i="5" s="1"/>
  <c r="E36" i="3"/>
  <c r="E35" i="3"/>
  <c r="H36" i="5" s="1"/>
  <c r="E34" i="3"/>
  <c r="N85" i="2"/>
  <c r="S85" i="2"/>
  <c r="N84" i="2"/>
  <c r="S84" i="2"/>
  <c r="N83" i="2"/>
  <c r="S83" i="2"/>
  <c r="N82" i="2"/>
  <c r="S82" i="2"/>
  <c r="N81" i="2"/>
  <c r="S81" i="2"/>
  <c r="N80" i="2"/>
  <c r="S80" i="2"/>
  <c r="N79" i="2"/>
  <c r="S79" i="2"/>
  <c r="N78" i="2"/>
  <c r="S78" i="2"/>
  <c r="N77" i="2"/>
  <c r="S77" i="2"/>
  <c r="N76" i="2"/>
  <c r="S76" i="2"/>
  <c r="N75" i="2"/>
  <c r="S75" i="2"/>
  <c r="N74" i="2"/>
  <c r="S74" i="2"/>
  <c r="N73" i="2"/>
  <c r="S73" i="2"/>
  <c r="N72" i="2"/>
  <c r="S72" i="2"/>
  <c r="N71" i="2"/>
  <c r="S71" i="2"/>
  <c r="N70" i="2"/>
  <c r="S70" i="2"/>
  <c r="N69" i="2"/>
  <c r="S69" i="2"/>
  <c r="N68" i="2"/>
  <c r="S68" i="2"/>
  <c r="N67" i="2"/>
  <c r="S67" i="2"/>
  <c r="N66" i="2"/>
  <c r="S66" i="2"/>
  <c r="N65" i="2"/>
  <c r="S65" i="2"/>
  <c r="M45" i="2"/>
  <c r="S45" i="2" s="1"/>
  <c r="S17" i="2"/>
  <c r="S46" i="2"/>
  <c r="S57" i="2"/>
  <c r="S58" i="2"/>
  <c r="S62" i="2"/>
  <c r="S63" i="2"/>
  <c r="Y79" i="5"/>
  <c r="Z79" i="5"/>
  <c r="AB79" i="5"/>
  <c r="AB81" i="5"/>
  <c r="Z82" i="5"/>
  <c r="AB82" i="5"/>
  <c r="Y83" i="5"/>
  <c r="Z83" i="5"/>
  <c r="AB83" i="5"/>
  <c r="Y85" i="5"/>
  <c r="Z85" i="5"/>
  <c r="AB85" i="5"/>
  <c r="X86" i="5"/>
  <c r="Z86" i="5"/>
  <c r="AB86" i="5"/>
  <c r="X87" i="5"/>
  <c r="Z87" i="5"/>
  <c r="AB87" i="5"/>
  <c r="X88" i="5"/>
  <c r="AB88" i="5"/>
  <c r="X89" i="5"/>
  <c r="Y89" i="5"/>
  <c r="AB89" i="5"/>
  <c r="X90" i="5"/>
  <c r="Y90" i="5"/>
  <c r="AB90" i="5"/>
  <c r="X91" i="5"/>
  <c r="Y91" i="5"/>
  <c r="X92" i="5"/>
  <c r="Y92" i="5"/>
  <c r="AB92" i="5"/>
  <c r="X94" i="5"/>
  <c r="Y94" i="5"/>
  <c r="AB94" i="5"/>
  <c r="X95" i="5"/>
  <c r="Y95" i="5"/>
  <c r="AB95" i="5"/>
  <c r="AB78" i="5"/>
  <c r="L79" i="5"/>
  <c r="M79" i="5"/>
  <c r="O79" i="5"/>
  <c r="O81" i="5"/>
  <c r="M82" i="5"/>
  <c r="O82" i="5"/>
  <c r="L83" i="5"/>
  <c r="M83" i="5"/>
  <c r="O83" i="5"/>
  <c r="L85" i="5"/>
  <c r="M85" i="5"/>
  <c r="O85" i="5"/>
  <c r="K86" i="5"/>
  <c r="M86" i="5"/>
  <c r="O86" i="5"/>
  <c r="K87" i="5"/>
  <c r="M87" i="5"/>
  <c r="O87" i="5"/>
  <c r="K88" i="5"/>
  <c r="O88" i="5"/>
  <c r="K89" i="5"/>
  <c r="L89" i="5"/>
  <c r="O89" i="5"/>
  <c r="K90" i="5"/>
  <c r="L90" i="5"/>
  <c r="O90" i="5"/>
  <c r="K91" i="5"/>
  <c r="L91" i="5"/>
  <c r="K92" i="5"/>
  <c r="L92" i="5"/>
  <c r="O92" i="5"/>
  <c r="K94" i="5"/>
  <c r="L94" i="5"/>
  <c r="O94" i="5"/>
  <c r="K95" i="5"/>
  <c r="L95" i="5"/>
  <c r="O95" i="5"/>
  <c r="O78" i="5"/>
  <c r="AI95" i="5"/>
  <c r="AI94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Y57" i="5"/>
  <c r="Z57" i="5"/>
  <c r="AB57" i="5"/>
  <c r="AB59" i="5"/>
  <c r="Z60" i="5"/>
  <c r="AB60" i="5"/>
  <c r="Y61" i="5"/>
  <c r="Z61" i="5"/>
  <c r="AB61" i="5"/>
  <c r="Y63" i="5"/>
  <c r="Z63" i="5"/>
  <c r="AB63" i="5"/>
  <c r="X64" i="5"/>
  <c r="Z64" i="5"/>
  <c r="AB64" i="5"/>
  <c r="X65" i="5"/>
  <c r="Z65" i="5"/>
  <c r="AB65" i="5"/>
  <c r="X66" i="5"/>
  <c r="AB66" i="5"/>
  <c r="X67" i="5"/>
  <c r="Y67" i="5"/>
  <c r="AB67" i="5"/>
  <c r="X68" i="5"/>
  <c r="Y68" i="5"/>
  <c r="AB68" i="5"/>
  <c r="X69" i="5"/>
  <c r="Y69" i="5"/>
  <c r="X70" i="5"/>
  <c r="Y70" i="5"/>
  <c r="AB70" i="5"/>
  <c r="X72" i="5"/>
  <c r="Y72" i="5"/>
  <c r="AB72" i="5"/>
  <c r="X73" i="5"/>
  <c r="Y73" i="5"/>
  <c r="AB73" i="5"/>
  <c r="AB56" i="5"/>
  <c r="L57" i="5"/>
  <c r="M57" i="5"/>
  <c r="O57" i="5"/>
  <c r="O59" i="5"/>
  <c r="M60" i="5"/>
  <c r="O60" i="5"/>
  <c r="L61" i="5"/>
  <c r="M61" i="5"/>
  <c r="O61" i="5"/>
  <c r="L63" i="5"/>
  <c r="M63" i="5"/>
  <c r="O63" i="5"/>
  <c r="K64" i="5"/>
  <c r="M64" i="5"/>
  <c r="O64" i="5"/>
  <c r="K65" i="5"/>
  <c r="M65" i="5"/>
  <c r="O65" i="5"/>
  <c r="K66" i="5"/>
  <c r="O66" i="5"/>
  <c r="K67" i="5"/>
  <c r="L67" i="5"/>
  <c r="O67" i="5"/>
  <c r="K68" i="5"/>
  <c r="L68" i="5"/>
  <c r="O68" i="5"/>
  <c r="K69" i="5"/>
  <c r="L69" i="5"/>
  <c r="K70" i="5"/>
  <c r="L70" i="5"/>
  <c r="O70" i="5"/>
  <c r="K72" i="5"/>
  <c r="L72" i="5"/>
  <c r="O72" i="5"/>
  <c r="K73" i="5"/>
  <c r="L73" i="5"/>
  <c r="O73" i="5"/>
  <c r="O56" i="5"/>
  <c r="AI73" i="5"/>
  <c r="AI72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Y35" i="5"/>
  <c r="Z35" i="5"/>
  <c r="AB35" i="5"/>
  <c r="AB37" i="5"/>
  <c r="Z38" i="5"/>
  <c r="AB38" i="5"/>
  <c r="Y39" i="5"/>
  <c r="Z39" i="5"/>
  <c r="AB39" i="5"/>
  <c r="Y41" i="5"/>
  <c r="Z41" i="5"/>
  <c r="AB41" i="5"/>
  <c r="X42" i="5"/>
  <c r="Z42" i="5"/>
  <c r="AB42" i="5"/>
  <c r="X43" i="5"/>
  <c r="Z43" i="5"/>
  <c r="AB43" i="5"/>
  <c r="X44" i="5"/>
  <c r="AB44" i="5"/>
  <c r="X45" i="5"/>
  <c r="Y45" i="5"/>
  <c r="AB45" i="5"/>
  <c r="X46" i="5"/>
  <c r="Y46" i="5"/>
  <c r="AB46" i="5"/>
  <c r="X47" i="5"/>
  <c r="Y47" i="5"/>
  <c r="X48" i="5"/>
  <c r="Y48" i="5"/>
  <c r="AB48" i="5"/>
  <c r="X50" i="5"/>
  <c r="Y50" i="5"/>
  <c r="AB50" i="5"/>
  <c r="X51" i="5"/>
  <c r="Y51" i="5"/>
  <c r="AB51" i="5"/>
  <c r="AB34" i="5"/>
  <c r="O35" i="5"/>
  <c r="O37" i="5"/>
  <c r="O38" i="5"/>
  <c r="O39" i="5"/>
  <c r="O41" i="5"/>
  <c r="O42" i="5"/>
  <c r="O43" i="5"/>
  <c r="O44" i="5"/>
  <c r="O45" i="5"/>
  <c r="O46" i="5"/>
  <c r="O48" i="5"/>
  <c r="O50" i="5"/>
  <c r="O51" i="5"/>
  <c r="O34" i="5"/>
  <c r="M35" i="5"/>
  <c r="M38" i="5"/>
  <c r="M39" i="5"/>
  <c r="M41" i="5"/>
  <c r="M42" i="5"/>
  <c r="M43" i="5"/>
  <c r="L35" i="5"/>
  <c r="L39" i="5"/>
  <c r="L41" i="5"/>
  <c r="L45" i="5"/>
  <c r="L46" i="5"/>
  <c r="L47" i="5"/>
  <c r="L48" i="5"/>
  <c r="L50" i="5"/>
  <c r="L51" i="5"/>
  <c r="K42" i="5"/>
  <c r="K43" i="5"/>
  <c r="K44" i="5"/>
  <c r="K45" i="5"/>
  <c r="K46" i="5"/>
  <c r="K47" i="5"/>
  <c r="K48" i="5"/>
  <c r="K50" i="5"/>
  <c r="K51" i="5"/>
  <c r="AI51" i="5"/>
  <c r="AI50" i="5"/>
  <c r="AI48" i="5"/>
  <c r="AI47" i="5"/>
  <c r="AI46" i="5"/>
  <c r="AI45" i="5"/>
  <c r="AI44" i="5"/>
  <c r="AI43" i="5"/>
  <c r="AI42" i="5"/>
  <c r="AI41" i="5"/>
  <c r="AI40" i="5"/>
  <c r="AI39" i="5"/>
  <c r="AI38" i="5"/>
  <c r="AI37" i="5"/>
  <c r="AI36" i="5"/>
  <c r="AI35" i="5"/>
  <c r="AI34" i="5"/>
  <c r="AB13" i="5"/>
  <c r="AB15" i="5"/>
  <c r="AB16" i="5"/>
  <c r="AB17" i="5"/>
  <c r="AB19" i="5"/>
  <c r="AB20" i="5"/>
  <c r="AB21" i="5"/>
  <c r="AB22" i="5"/>
  <c r="AB23" i="5"/>
  <c r="AB24" i="5"/>
  <c r="AB26" i="5"/>
  <c r="AB28" i="5"/>
  <c r="AB29" i="5"/>
  <c r="AB12" i="5"/>
  <c r="Z13" i="5"/>
  <c r="Z16" i="5"/>
  <c r="Z17" i="5"/>
  <c r="Z19" i="5"/>
  <c r="Z20" i="5"/>
  <c r="Z21" i="5"/>
  <c r="Y13" i="5"/>
  <c r="Y17" i="5"/>
  <c r="Y19" i="5"/>
  <c r="Y23" i="5"/>
  <c r="Y24" i="5"/>
  <c r="Y25" i="5"/>
  <c r="Y26" i="5"/>
  <c r="Y28" i="5"/>
  <c r="Y29" i="5"/>
  <c r="M16" i="5"/>
  <c r="L19" i="5"/>
  <c r="X20" i="5"/>
  <c r="X21" i="5"/>
  <c r="X22" i="5"/>
  <c r="X23" i="5"/>
  <c r="X24" i="5"/>
  <c r="X25" i="5"/>
  <c r="X26" i="5"/>
  <c r="X28" i="5"/>
  <c r="X29" i="5"/>
  <c r="O13" i="5"/>
  <c r="O12" i="5"/>
  <c r="O16" i="5"/>
  <c r="O17" i="5"/>
  <c r="O19" i="5"/>
  <c r="O20" i="5"/>
  <c r="O21" i="5"/>
  <c r="O22" i="5"/>
  <c r="O23" i="5"/>
  <c r="O24" i="5"/>
  <c r="O26" i="5"/>
  <c r="O28" i="5"/>
  <c r="O29" i="5"/>
  <c r="O15" i="5"/>
  <c r="L17" i="5"/>
  <c r="L24" i="5"/>
  <c r="L25" i="5"/>
  <c r="L26" i="5"/>
  <c r="K20" i="5"/>
  <c r="K21" i="5"/>
  <c r="K22" i="5"/>
  <c r="K23" i="5"/>
  <c r="K24" i="5"/>
  <c r="K25" i="5"/>
  <c r="K26" i="5"/>
  <c r="K28" i="5"/>
  <c r="K29" i="5"/>
  <c r="AI29" i="5"/>
  <c r="AI28" i="5"/>
  <c r="AI26" i="5"/>
  <c r="AI25" i="5"/>
  <c r="AI24" i="5"/>
  <c r="AI23" i="5"/>
  <c r="AI22" i="5"/>
  <c r="AI21" i="5"/>
  <c r="AI20" i="5"/>
  <c r="AI19" i="5"/>
  <c r="AI18" i="5"/>
  <c r="AI17" i="5"/>
  <c r="AI16" i="5"/>
  <c r="AI15" i="5"/>
  <c r="AI14" i="5"/>
  <c r="AI13" i="5"/>
  <c r="AI12" i="5"/>
  <c r="AF9" i="4"/>
  <c r="AF10" i="4"/>
  <c r="AF11" i="4"/>
  <c r="AF12" i="4"/>
  <c r="AF8" i="4"/>
  <c r="AF13" i="4"/>
  <c r="AF14" i="4"/>
  <c r="AF15" i="4"/>
  <c r="AF16" i="4"/>
  <c r="AF17" i="4"/>
  <c r="AF18" i="4"/>
  <c r="AF19" i="4"/>
  <c r="AF20" i="4"/>
  <c r="AF21" i="4"/>
  <c r="AF22" i="4"/>
  <c r="AF24" i="4"/>
  <c r="AF25" i="4"/>
  <c r="Y9" i="4"/>
  <c r="Y11" i="4"/>
  <c r="Y12" i="4"/>
  <c r="Y13" i="4"/>
  <c r="Y15" i="4"/>
  <c r="Y16" i="4"/>
  <c r="Y17" i="4"/>
  <c r="Y18" i="4"/>
  <c r="Y19" i="4"/>
  <c r="Y20" i="4"/>
  <c r="Y22" i="4"/>
  <c r="Y24" i="4"/>
  <c r="Y25" i="4"/>
  <c r="Y8" i="4"/>
  <c r="W9" i="4"/>
  <c r="W12" i="4"/>
  <c r="W13" i="4"/>
  <c r="W15" i="4"/>
  <c r="W16" i="4"/>
  <c r="W17" i="4"/>
  <c r="V9" i="4"/>
  <c r="V13" i="4"/>
  <c r="V15" i="4"/>
  <c r="V19" i="4"/>
  <c r="V20" i="4"/>
  <c r="V21" i="4"/>
  <c r="V22" i="4"/>
  <c r="V24" i="4"/>
  <c r="V25" i="4"/>
  <c r="U16" i="4"/>
  <c r="U17" i="4"/>
  <c r="U18" i="4"/>
  <c r="U19" i="4"/>
  <c r="U20" i="4"/>
  <c r="U21" i="4"/>
  <c r="U22" i="4"/>
  <c r="U24" i="4"/>
  <c r="U25" i="4"/>
  <c r="N12" i="4"/>
  <c r="L12" i="4"/>
  <c r="K19" i="4"/>
  <c r="J16" i="4"/>
  <c r="P20" i="2" l="1"/>
  <c r="Q20" i="2" s="1"/>
  <c r="R20" i="2" s="1"/>
  <c r="Q37" i="2"/>
  <c r="R37" i="2" s="1"/>
  <c r="H78" i="5"/>
  <c r="N78" i="5" s="1"/>
  <c r="H8" i="4"/>
  <c r="X8" i="4" s="1"/>
  <c r="H15" i="5"/>
  <c r="H37" i="5"/>
  <c r="AA37" i="5" s="1"/>
  <c r="D78" i="5"/>
  <c r="D12" i="5"/>
  <c r="D79" i="5"/>
  <c r="D35" i="5"/>
  <c r="D39" i="5"/>
  <c r="D61" i="5"/>
  <c r="D87" i="5"/>
  <c r="D43" i="5"/>
  <c r="D88" i="5"/>
  <c r="D44" i="5"/>
  <c r="D27" i="5"/>
  <c r="S27" i="5" s="1"/>
  <c r="R23" i="4"/>
  <c r="D72" i="5"/>
  <c r="D28" i="5"/>
  <c r="D95" i="5"/>
  <c r="D29" i="5"/>
  <c r="D48" i="5"/>
  <c r="H39" i="5"/>
  <c r="AA39" i="5" s="1"/>
  <c r="D20" i="5"/>
  <c r="D36" i="5"/>
  <c r="D49" i="5"/>
  <c r="S49" i="5" s="1"/>
  <c r="D62" i="5"/>
  <c r="H60" i="5"/>
  <c r="AA60" i="5" s="1"/>
  <c r="D21" i="5"/>
  <c r="D40" i="5"/>
  <c r="D50" i="5"/>
  <c r="D22" i="5"/>
  <c r="D51" i="5"/>
  <c r="D80" i="5"/>
  <c r="H14" i="4"/>
  <c r="X14" i="4" s="1"/>
  <c r="D23" i="5"/>
  <c r="D42" i="5"/>
  <c r="D56" i="5"/>
  <c r="D57" i="5"/>
  <c r="D13" i="5"/>
  <c r="D58" i="5"/>
  <c r="H16" i="5"/>
  <c r="AA16" i="5" s="1"/>
  <c r="D34" i="5"/>
  <c r="D45" i="5"/>
  <c r="D60" i="5"/>
  <c r="D70" i="5"/>
  <c r="D82" i="5"/>
  <c r="D90" i="5"/>
  <c r="D91" i="5"/>
  <c r="D92" i="5"/>
  <c r="D68" i="5"/>
  <c r="D93" i="5"/>
  <c r="S93" i="5" s="1"/>
  <c r="D46" i="5"/>
  <c r="D66" i="5"/>
  <c r="D86" i="5"/>
  <c r="D94" i="5"/>
  <c r="H23" i="4"/>
  <c r="X23" i="4" s="1"/>
  <c r="H79" i="5"/>
  <c r="AA79" i="5" s="1"/>
  <c r="D15" i="5"/>
  <c r="D71" i="5"/>
  <c r="S71" i="5" s="1"/>
  <c r="D83" i="5"/>
  <c r="H81" i="5"/>
  <c r="AA81" i="5" s="1"/>
  <c r="D16" i="5"/>
  <c r="D84" i="5"/>
  <c r="D17" i="5"/>
  <c r="D25" i="5"/>
  <c r="D37" i="5"/>
  <c r="D65" i="5"/>
  <c r="D73" i="5"/>
  <c r="H18" i="5"/>
  <c r="AA18" i="5" s="1"/>
  <c r="H35" i="5"/>
  <c r="AA35" i="5" s="1"/>
  <c r="D47" i="5"/>
  <c r="D59" i="5"/>
  <c r="D67" i="5"/>
  <c r="AA36" i="5"/>
  <c r="N36" i="5"/>
  <c r="AA15" i="5"/>
  <c r="N15" i="5"/>
  <c r="AA93" i="5"/>
  <c r="N93" i="5"/>
  <c r="AA78" i="5"/>
  <c r="AA57" i="5"/>
  <c r="N57" i="5"/>
  <c r="AA84" i="5"/>
  <c r="N84" i="5"/>
  <c r="H9" i="4"/>
  <c r="X9" i="4" s="1"/>
  <c r="H17" i="5"/>
  <c r="H38" i="5"/>
  <c r="H59" i="5"/>
  <c r="H80" i="5"/>
  <c r="N37" i="5"/>
  <c r="H10" i="4"/>
  <c r="X10" i="4" s="1"/>
  <c r="H11" i="4"/>
  <c r="X11" i="4" s="1"/>
  <c r="H19" i="5"/>
  <c r="H40" i="5"/>
  <c r="H61" i="5"/>
  <c r="H82" i="5"/>
  <c r="H12" i="5"/>
  <c r="H27" i="5"/>
  <c r="H41" i="5"/>
  <c r="H62" i="5"/>
  <c r="H83" i="5"/>
  <c r="H58" i="5"/>
  <c r="H13" i="5"/>
  <c r="H34" i="5"/>
  <c r="H49" i="5"/>
  <c r="H63" i="5"/>
  <c r="H14" i="5"/>
  <c r="H56" i="5"/>
  <c r="H71" i="5"/>
  <c r="H85" i="5"/>
  <c r="M16" i="4"/>
  <c r="J25" i="4"/>
  <c r="M15" i="4"/>
  <c r="M22" i="4"/>
  <c r="M13" i="4"/>
  <c r="M20" i="4"/>
  <c r="M12" i="4"/>
  <c r="M19" i="4"/>
  <c r="M21" i="4"/>
  <c r="M18" i="4"/>
  <c r="M25" i="4"/>
  <c r="M17" i="4"/>
  <c r="J24" i="4"/>
  <c r="J22" i="4"/>
  <c r="K22" i="4"/>
  <c r="J21" i="4"/>
  <c r="J20" i="4"/>
  <c r="J17" i="4"/>
  <c r="J19" i="4"/>
  <c r="K25" i="4"/>
  <c r="L9" i="4"/>
  <c r="N9" i="4"/>
  <c r="J18" i="4"/>
  <c r="K24" i="4"/>
  <c r="N8" i="4"/>
  <c r="K15" i="4"/>
  <c r="N19" i="4"/>
  <c r="N11" i="4"/>
  <c r="K9" i="4"/>
  <c r="N18" i="4"/>
  <c r="L15" i="4"/>
  <c r="N25" i="4"/>
  <c r="L17" i="4"/>
  <c r="N17" i="4"/>
  <c r="L16" i="4"/>
  <c r="N16" i="4"/>
  <c r="M21" i="5"/>
  <c r="M13" i="5"/>
  <c r="M20" i="5"/>
  <c r="M19" i="5"/>
  <c r="M17" i="5"/>
  <c r="L23" i="5"/>
  <c r="L13" i="5"/>
  <c r="L29" i="5"/>
  <c r="L28" i="5"/>
  <c r="K21" i="4"/>
  <c r="K13" i="4"/>
  <c r="N24" i="4"/>
  <c r="N15" i="4"/>
  <c r="K20" i="4"/>
  <c r="L13" i="4"/>
  <c r="N22" i="4"/>
  <c r="N13" i="4"/>
  <c r="N20" i="4"/>
  <c r="M9" i="4" l="1"/>
  <c r="M8" i="4"/>
  <c r="N16" i="5"/>
  <c r="N81" i="5"/>
  <c r="N35" i="5"/>
  <c r="N79" i="5"/>
  <c r="N39" i="5"/>
  <c r="N18" i="5"/>
  <c r="M23" i="4"/>
  <c r="N60" i="5"/>
  <c r="M14" i="4"/>
  <c r="M10" i="4"/>
  <c r="M11" i="4"/>
  <c r="AA14" i="5"/>
  <c r="N14" i="5"/>
  <c r="AA83" i="5"/>
  <c r="N83" i="5"/>
  <c r="AA40" i="5"/>
  <c r="N40" i="5"/>
  <c r="AA38" i="5"/>
  <c r="N38" i="5"/>
  <c r="AA62" i="5"/>
  <c r="N62" i="5"/>
  <c r="AA19" i="5"/>
  <c r="N19" i="5"/>
  <c r="AA17" i="5"/>
  <c r="N17" i="5"/>
  <c r="AA59" i="5"/>
  <c r="N59" i="5"/>
  <c r="AA41" i="5"/>
  <c r="N41" i="5"/>
  <c r="AA63" i="5"/>
  <c r="N63" i="5"/>
  <c r="AA49" i="5"/>
  <c r="N49" i="5"/>
  <c r="AA27" i="5"/>
  <c r="N27" i="5"/>
  <c r="AA34" i="5"/>
  <c r="N34" i="5"/>
  <c r="N12" i="5"/>
  <c r="AA12" i="5"/>
  <c r="AA85" i="5"/>
  <c r="N85" i="5"/>
  <c r="AA13" i="5"/>
  <c r="N13" i="5"/>
  <c r="AA56" i="5"/>
  <c r="N56" i="5"/>
  <c r="AA61" i="5"/>
  <c r="N61" i="5"/>
  <c r="AA71" i="5"/>
  <c r="N71" i="5"/>
  <c r="AA58" i="5"/>
  <c r="N58" i="5"/>
  <c r="AA82" i="5"/>
  <c r="N82" i="5"/>
  <c r="AA80" i="5"/>
  <c r="N80" i="5"/>
  <c r="F33" i="3"/>
  <c r="E33" i="3" l="1"/>
  <c r="G33" i="3" s="1"/>
  <c r="E17" i="3"/>
  <c r="E32" i="3"/>
  <c r="E25" i="3"/>
  <c r="E22" i="3"/>
  <c r="E4" i="3"/>
  <c r="E8" i="3"/>
  <c r="E19" i="3"/>
  <c r="E21" i="3"/>
  <c r="E18" i="3"/>
  <c r="E16" i="3"/>
  <c r="E7" i="3"/>
  <c r="E28" i="3"/>
  <c r="E29" i="3"/>
  <c r="E27" i="3"/>
  <c r="E30" i="3"/>
  <c r="E23" i="3"/>
  <c r="E14" i="3"/>
  <c r="E9" i="3"/>
  <c r="E12" i="3"/>
  <c r="E26" i="3"/>
  <c r="E15" i="3"/>
  <c r="E6" i="3"/>
  <c r="E31" i="3"/>
  <c r="E20" i="3"/>
  <c r="E13" i="3"/>
  <c r="E5" i="3"/>
  <c r="E11" i="3"/>
  <c r="E3" i="3"/>
  <c r="E10" i="3"/>
  <c r="M38" i="2"/>
  <c r="S38" i="2" s="1"/>
  <c r="M16" i="2"/>
  <c r="S16" i="2" s="1"/>
  <c r="M7" i="2"/>
  <c r="I36" i="5" l="1"/>
  <c r="I14" i="5"/>
  <c r="I10" i="4"/>
  <c r="I80" i="5"/>
  <c r="I58" i="5"/>
  <c r="E15" i="5"/>
  <c r="E59" i="5"/>
  <c r="E11" i="4"/>
  <c r="E37" i="5"/>
  <c r="E81" i="5"/>
  <c r="G48" i="5"/>
  <c r="G92" i="5"/>
  <c r="G70" i="5"/>
  <c r="G22" i="4"/>
  <c r="G26" i="5"/>
  <c r="E83" i="5"/>
  <c r="E61" i="5"/>
  <c r="E17" i="5"/>
  <c r="E39" i="5"/>
  <c r="E13" i="4"/>
  <c r="F59" i="5"/>
  <c r="F11" i="4"/>
  <c r="F37" i="5"/>
  <c r="F81" i="5"/>
  <c r="F15" i="5"/>
  <c r="G25" i="4"/>
  <c r="G29" i="5"/>
  <c r="G95" i="5"/>
  <c r="G73" i="5"/>
  <c r="G51" i="5"/>
  <c r="E57" i="5"/>
  <c r="E9" i="4"/>
  <c r="E35" i="5"/>
  <c r="E13" i="5"/>
  <c r="E79" i="5"/>
  <c r="I14" i="4"/>
  <c r="I40" i="5"/>
  <c r="I84" i="5"/>
  <c r="I62" i="5"/>
  <c r="I18" i="5"/>
  <c r="G89" i="5"/>
  <c r="G67" i="5"/>
  <c r="G23" i="5"/>
  <c r="G45" i="5"/>
  <c r="G19" i="4"/>
  <c r="E41" i="5"/>
  <c r="E85" i="5"/>
  <c r="E63" i="5"/>
  <c r="E15" i="4"/>
  <c r="E19" i="5"/>
  <c r="F34" i="5"/>
  <c r="F8" i="4"/>
  <c r="F78" i="5"/>
  <c r="F56" i="5"/>
  <c r="F12" i="5"/>
  <c r="G37" i="5"/>
  <c r="G11" i="4"/>
  <c r="G81" i="5"/>
  <c r="G15" i="5"/>
  <c r="G59" i="5"/>
  <c r="G28" i="5"/>
  <c r="G24" i="4"/>
  <c r="G72" i="5"/>
  <c r="G50" i="5"/>
  <c r="G94" i="5"/>
  <c r="G24" i="5"/>
  <c r="G46" i="5"/>
  <c r="G90" i="5"/>
  <c r="G68" i="5"/>
  <c r="G20" i="4"/>
  <c r="F64" i="5"/>
  <c r="F20" i="5"/>
  <c r="F42" i="5"/>
  <c r="F86" i="5"/>
  <c r="F16" i="4"/>
  <c r="G47" i="5"/>
  <c r="G69" i="5"/>
  <c r="G21" i="4"/>
  <c r="G91" i="5"/>
  <c r="G25" i="5"/>
  <c r="E10" i="4"/>
  <c r="E36" i="5"/>
  <c r="E80" i="5"/>
  <c r="E14" i="5"/>
  <c r="E58" i="5"/>
  <c r="E62" i="5"/>
  <c r="E18" i="5"/>
  <c r="E40" i="5"/>
  <c r="E14" i="4"/>
  <c r="E84" i="5"/>
  <c r="F38" i="5"/>
  <c r="F12" i="4"/>
  <c r="F82" i="5"/>
  <c r="F16" i="5"/>
  <c r="F60" i="5"/>
  <c r="I47" i="5"/>
  <c r="I91" i="5"/>
  <c r="I69" i="5"/>
  <c r="I25" i="5"/>
  <c r="I21" i="4"/>
  <c r="F5" i="3"/>
  <c r="G5" i="3" s="1"/>
  <c r="S7" i="2"/>
  <c r="F36" i="5"/>
  <c r="F14" i="5"/>
  <c r="F10" i="4"/>
  <c r="F58" i="5"/>
  <c r="F80" i="5"/>
  <c r="F14" i="4"/>
  <c r="F18" i="5"/>
  <c r="F84" i="5"/>
  <c r="F62" i="5"/>
  <c r="F40" i="5"/>
  <c r="F44" i="5"/>
  <c r="F88" i="5"/>
  <c r="F22" i="5"/>
  <c r="F66" i="5"/>
  <c r="F18" i="4"/>
  <c r="F87" i="5"/>
  <c r="F43" i="5"/>
  <c r="F17" i="4"/>
  <c r="F65" i="5"/>
  <c r="F21" i="5"/>
  <c r="G78" i="5"/>
  <c r="G56" i="5"/>
  <c r="G12" i="5"/>
  <c r="G8" i="4"/>
  <c r="G34" i="5"/>
  <c r="E38" i="5"/>
  <c r="E82" i="5"/>
  <c r="E60" i="5"/>
  <c r="E16" i="5"/>
  <c r="E12" i="4"/>
  <c r="G36" i="5"/>
  <c r="G14" i="5"/>
  <c r="G80" i="5"/>
  <c r="G10" i="4"/>
  <c r="G58" i="5"/>
  <c r="G18" i="5"/>
  <c r="G14" i="4"/>
  <c r="G84" i="5"/>
  <c r="G40" i="5"/>
  <c r="G62" i="5"/>
  <c r="G18" i="4"/>
  <c r="G66" i="5"/>
  <c r="G44" i="5"/>
  <c r="G88" i="5"/>
  <c r="G22" i="5"/>
  <c r="E34" i="5"/>
  <c r="E56" i="5"/>
  <c r="E12" i="5"/>
  <c r="E78" i="5"/>
  <c r="E8" i="4"/>
  <c r="M61" i="2"/>
  <c r="S61" i="2" s="1"/>
  <c r="M64" i="2"/>
  <c r="M60" i="2"/>
  <c r="S60" i="2" s="1"/>
  <c r="M59" i="2"/>
  <c r="S59" i="2" s="1"/>
  <c r="K28" i="2"/>
  <c r="M28" i="2" s="1"/>
  <c r="S28" i="2" s="1"/>
  <c r="K11" i="2"/>
  <c r="M11" i="2" s="1"/>
  <c r="S11" i="2" s="1"/>
  <c r="N7" i="2"/>
  <c r="N16" i="2"/>
  <c r="N17" i="2"/>
  <c r="N38" i="2"/>
  <c r="N43" i="2"/>
  <c r="N44" i="2"/>
  <c r="N45" i="2"/>
  <c r="N46" i="2"/>
  <c r="N57" i="2"/>
  <c r="N58" i="2"/>
  <c r="N62" i="2"/>
  <c r="N63" i="2"/>
  <c r="M51" i="2"/>
  <c r="M56" i="2"/>
  <c r="M55" i="2"/>
  <c r="M52" i="2"/>
  <c r="M42" i="2"/>
  <c r="S42" i="2" s="1"/>
  <c r="Z84" i="5" l="1"/>
  <c r="M84" i="5"/>
  <c r="Z56" i="5"/>
  <c r="M56" i="5"/>
  <c r="Z66" i="5"/>
  <c r="M66" i="5"/>
  <c r="K17" i="4"/>
  <c r="O17" i="4" s="1"/>
  <c r="Q17" i="4" s="1"/>
  <c r="R17" i="4" s="1"/>
  <c r="V17" i="4"/>
  <c r="Z17" i="4" s="1"/>
  <c r="Y20" i="5"/>
  <c r="AC20" i="5" s="1"/>
  <c r="L20" i="5"/>
  <c r="P20" i="5" s="1"/>
  <c r="R20" i="5" s="1"/>
  <c r="S20" i="5" s="1"/>
  <c r="U9" i="4"/>
  <c r="Z9" i="4" s="1"/>
  <c r="J9" i="4"/>
  <c r="O9" i="4" s="1"/>
  <c r="Q9" i="4" s="1"/>
  <c r="R9" i="4" s="1"/>
  <c r="W18" i="4"/>
  <c r="L18" i="4"/>
  <c r="M34" i="5"/>
  <c r="Z34" i="5"/>
  <c r="Y62" i="5"/>
  <c r="L62" i="5"/>
  <c r="Y60" i="5"/>
  <c r="L60" i="5"/>
  <c r="Y64" i="5"/>
  <c r="AC64" i="5" s="1"/>
  <c r="L64" i="5"/>
  <c r="P64" i="5" s="1"/>
  <c r="R64" i="5" s="1"/>
  <c r="S64" i="5" s="1"/>
  <c r="Z26" i="5"/>
  <c r="AC26" i="5" s="1"/>
  <c r="M26" i="5"/>
  <c r="P26" i="5" s="1"/>
  <c r="R26" i="5" s="1"/>
  <c r="S26" i="5" s="1"/>
  <c r="N55" i="2"/>
  <c r="S55" i="2"/>
  <c r="Z62" i="5"/>
  <c r="M62" i="5"/>
  <c r="Z14" i="5"/>
  <c r="M14" i="5"/>
  <c r="L8" i="4"/>
  <c r="W8" i="4"/>
  <c r="L87" i="5"/>
  <c r="P87" i="5" s="1"/>
  <c r="R87" i="5" s="1"/>
  <c r="S87" i="5" s="1"/>
  <c r="Y87" i="5"/>
  <c r="AC87" i="5" s="1"/>
  <c r="Y84" i="5"/>
  <c r="L84" i="5"/>
  <c r="L16" i="5"/>
  <c r="Y16" i="5"/>
  <c r="K62" i="5"/>
  <c r="X62" i="5"/>
  <c r="L21" i="4"/>
  <c r="W21" i="4"/>
  <c r="L20" i="4"/>
  <c r="O20" i="4" s="1"/>
  <c r="Q20" i="4" s="1"/>
  <c r="R20" i="4" s="1"/>
  <c r="W20" i="4"/>
  <c r="Z20" i="4" s="1"/>
  <c r="W24" i="4"/>
  <c r="Z24" i="4" s="1"/>
  <c r="L24" i="4"/>
  <c r="O24" i="4" s="1"/>
  <c r="Q24" i="4" s="1"/>
  <c r="R24" i="4" s="1"/>
  <c r="L56" i="5"/>
  <c r="Y56" i="5"/>
  <c r="K41" i="5"/>
  <c r="P41" i="5" s="1"/>
  <c r="R41" i="5" s="1"/>
  <c r="S41" i="5" s="1"/>
  <c r="X41" i="5"/>
  <c r="AC41" i="5" s="1"/>
  <c r="O84" i="5"/>
  <c r="AB84" i="5"/>
  <c r="M51" i="5"/>
  <c r="P51" i="5" s="1"/>
  <c r="R51" i="5" s="1"/>
  <c r="S51" i="5" s="1"/>
  <c r="Z51" i="5"/>
  <c r="AC51" i="5" s="1"/>
  <c r="K11" i="4"/>
  <c r="V11" i="4"/>
  <c r="W22" i="4"/>
  <c r="Z22" i="4" s="1"/>
  <c r="L22" i="4"/>
  <c r="O22" i="4" s="1"/>
  <c r="Q22" i="4" s="1"/>
  <c r="R22" i="4" s="1"/>
  <c r="X15" i="5"/>
  <c r="K15" i="5"/>
  <c r="N51" i="2"/>
  <c r="S51" i="2"/>
  <c r="W10" i="4"/>
  <c r="L10" i="4"/>
  <c r="X38" i="5"/>
  <c r="K38" i="5"/>
  <c r="Y40" i="5"/>
  <c r="L40" i="5"/>
  <c r="Y14" i="5"/>
  <c r="L14" i="5"/>
  <c r="AB47" i="5"/>
  <c r="O47" i="5"/>
  <c r="K40" i="5"/>
  <c r="X40" i="5"/>
  <c r="Z25" i="5"/>
  <c r="M25" i="5"/>
  <c r="Z50" i="5"/>
  <c r="AC50" i="5" s="1"/>
  <c r="M50" i="5"/>
  <c r="P50" i="5" s="1"/>
  <c r="R50" i="5" s="1"/>
  <c r="S50" i="5" s="1"/>
  <c r="M37" i="5"/>
  <c r="Z37" i="5"/>
  <c r="X63" i="5"/>
  <c r="AC63" i="5" s="1"/>
  <c r="K63" i="5"/>
  <c r="P63" i="5" s="1"/>
  <c r="R63" i="5" s="1"/>
  <c r="S63" i="5" s="1"/>
  <c r="O18" i="5"/>
  <c r="AB18" i="5"/>
  <c r="L81" i="5"/>
  <c r="Y81" i="5"/>
  <c r="K83" i="5"/>
  <c r="P83" i="5" s="1"/>
  <c r="R83" i="5" s="1"/>
  <c r="S83" i="5" s="1"/>
  <c r="X83" i="5"/>
  <c r="AC83" i="5" s="1"/>
  <c r="U11" i="4"/>
  <c r="J11" i="4"/>
  <c r="N52" i="2"/>
  <c r="S52" i="2"/>
  <c r="Z80" i="5"/>
  <c r="M80" i="5"/>
  <c r="L43" i="5"/>
  <c r="P43" i="5" s="1"/>
  <c r="R43" i="5" s="1"/>
  <c r="S43" i="5" s="1"/>
  <c r="Y43" i="5"/>
  <c r="AC43" i="5" s="1"/>
  <c r="Y36" i="5"/>
  <c r="L36" i="5"/>
  <c r="X18" i="5"/>
  <c r="K18" i="5"/>
  <c r="Z91" i="5"/>
  <c r="M91" i="5"/>
  <c r="M72" i="5"/>
  <c r="P72" i="5" s="1"/>
  <c r="R72" i="5" s="1"/>
  <c r="S72" i="5" s="1"/>
  <c r="Z72" i="5"/>
  <c r="AC72" i="5" s="1"/>
  <c r="Y12" i="5"/>
  <c r="L12" i="5"/>
  <c r="K85" i="5"/>
  <c r="P85" i="5" s="1"/>
  <c r="R85" i="5" s="1"/>
  <c r="S85" i="5" s="1"/>
  <c r="X85" i="5"/>
  <c r="AC85" i="5" s="1"/>
  <c r="AB62" i="5"/>
  <c r="O62" i="5"/>
  <c r="X57" i="5"/>
  <c r="AC57" i="5" s="1"/>
  <c r="K57" i="5"/>
  <c r="P57" i="5" s="1"/>
  <c r="R57" i="5" s="1"/>
  <c r="S57" i="5" s="1"/>
  <c r="Y37" i="5"/>
  <c r="L37" i="5"/>
  <c r="X59" i="5"/>
  <c r="K59" i="5"/>
  <c r="N56" i="2"/>
  <c r="S56" i="2"/>
  <c r="Z40" i="5"/>
  <c r="M40" i="5"/>
  <c r="M36" i="5"/>
  <c r="Z36" i="5"/>
  <c r="Z12" i="5"/>
  <c r="M12" i="5"/>
  <c r="K18" i="4"/>
  <c r="V18" i="4"/>
  <c r="Y18" i="5"/>
  <c r="L18" i="5"/>
  <c r="Y82" i="5"/>
  <c r="L82" i="5"/>
  <c r="K58" i="5"/>
  <c r="X58" i="5"/>
  <c r="M69" i="5"/>
  <c r="Z69" i="5"/>
  <c r="M68" i="5"/>
  <c r="P68" i="5" s="1"/>
  <c r="R68" i="5" s="1"/>
  <c r="S68" i="5" s="1"/>
  <c r="Z68" i="5"/>
  <c r="AC68" i="5" s="1"/>
  <c r="Z28" i="5"/>
  <c r="AC28" i="5" s="1"/>
  <c r="M28" i="5"/>
  <c r="P28" i="5" s="1"/>
  <c r="R28" i="5" s="1"/>
  <c r="S28" i="5" s="1"/>
  <c r="Y78" i="5"/>
  <c r="L78" i="5"/>
  <c r="L19" i="4"/>
  <c r="O19" i="4" s="1"/>
  <c r="Q19" i="4" s="1"/>
  <c r="R19" i="4" s="1"/>
  <c r="W19" i="4"/>
  <c r="Z19" i="4" s="1"/>
  <c r="O40" i="5"/>
  <c r="AB40" i="5"/>
  <c r="Z73" i="5"/>
  <c r="AC73" i="5" s="1"/>
  <c r="M73" i="5"/>
  <c r="P73" i="5" s="1"/>
  <c r="R73" i="5" s="1"/>
  <c r="S73" i="5" s="1"/>
  <c r="Y59" i="5"/>
  <c r="L59" i="5"/>
  <c r="Z70" i="5"/>
  <c r="AC70" i="5" s="1"/>
  <c r="M70" i="5"/>
  <c r="P70" i="5" s="1"/>
  <c r="R70" i="5" s="1"/>
  <c r="S70" i="5" s="1"/>
  <c r="AB58" i="5"/>
  <c r="O58" i="5"/>
  <c r="U12" i="4"/>
  <c r="J12" i="4"/>
  <c r="M45" i="5"/>
  <c r="P45" i="5" s="1"/>
  <c r="R45" i="5" s="1"/>
  <c r="S45" i="5" s="1"/>
  <c r="Z45" i="5"/>
  <c r="AC45" i="5" s="1"/>
  <c r="J13" i="4"/>
  <c r="O13" i="4" s="1"/>
  <c r="Q13" i="4" s="1"/>
  <c r="R13" i="4" s="1"/>
  <c r="U13" i="4"/>
  <c r="Z13" i="4" s="1"/>
  <c r="Z92" i="5"/>
  <c r="AC92" i="5" s="1"/>
  <c r="M92" i="5"/>
  <c r="P92" i="5" s="1"/>
  <c r="R92" i="5" s="1"/>
  <c r="S92" i="5" s="1"/>
  <c r="N64" i="2"/>
  <c r="S64" i="2"/>
  <c r="T64" i="2" s="1"/>
  <c r="Z22" i="5"/>
  <c r="M22" i="5"/>
  <c r="X16" i="5"/>
  <c r="K16" i="5"/>
  <c r="M78" i="5"/>
  <c r="Z78" i="5"/>
  <c r="Y80" i="5"/>
  <c r="L80" i="5"/>
  <c r="O25" i="5"/>
  <c r="AB25" i="5"/>
  <c r="Y38" i="5"/>
  <c r="L38" i="5"/>
  <c r="M88" i="5"/>
  <c r="Z88" i="5"/>
  <c r="Z18" i="5"/>
  <c r="M18" i="5"/>
  <c r="K60" i="5"/>
  <c r="X60" i="5"/>
  <c r="Y21" i="5"/>
  <c r="AC21" i="5" s="1"/>
  <c r="L21" i="5"/>
  <c r="P21" i="5" s="1"/>
  <c r="R21" i="5" s="1"/>
  <c r="S21" i="5" s="1"/>
  <c r="Y88" i="5"/>
  <c r="L88" i="5"/>
  <c r="Y58" i="5"/>
  <c r="L58" i="5"/>
  <c r="O69" i="5"/>
  <c r="AB69" i="5"/>
  <c r="X84" i="5"/>
  <c r="K84" i="5"/>
  <c r="X36" i="5"/>
  <c r="K36" i="5"/>
  <c r="Y86" i="5"/>
  <c r="AC86" i="5" s="1"/>
  <c r="L86" i="5"/>
  <c r="P86" i="5" s="1"/>
  <c r="R86" i="5" s="1"/>
  <c r="S86" i="5" s="1"/>
  <c r="Z24" i="5"/>
  <c r="AC24" i="5" s="1"/>
  <c r="M24" i="5"/>
  <c r="P24" i="5" s="1"/>
  <c r="R24" i="5" s="1"/>
  <c r="S24" i="5" s="1"/>
  <c r="Z81" i="5"/>
  <c r="M81" i="5"/>
  <c r="K19" i="5"/>
  <c r="P19" i="5" s="1"/>
  <c r="R19" i="5" s="1"/>
  <c r="S19" i="5" s="1"/>
  <c r="X19" i="5"/>
  <c r="AC19" i="5" s="1"/>
  <c r="M67" i="5"/>
  <c r="P67" i="5" s="1"/>
  <c r="R67" i="5" s="1"/>
  <c r="S67" i="5" s="1"/>
  <c r="Z67" i="5"/>
  <c r="AC67" i="5" s="1"/>
  <c r="K13" i="5"/>
  <c r="P13" i="5" s="1"/>
  <c r="R13" i="5" s="1"/>
  <c r="S13" i="5" s="1"/>
  <c r="X13" i="5"/>
  <c r="AC13" i="5" s="1"/>
  <c r="L25" i="4"/>
  <c r="O25" i="4" s="1"/>
  <c r="Q25" i="4" s="1"/>
  <c r="R25" i="4" s="1"/>
  <c r="W25" i="4"/>
  <c r="Z25" i="4" s="1"/>
  <c r="X17" i="5"/>
  <c r="AC17" i="5" s="1"/>
  <c r="K17" i="5"/>
  <c r="P17" i="5" s="1"/>
  <c r="R17" i="5" s="1"/>
  <c r="S17" i="5" s="1"/>
  <c r="K81" i="5"/>
  <c r="X81" i="5"/>
  <c r="AB14" i="5"/>
  <c r="O14" i="5"/>
  <c r="Y66" i="5"/>
  <c r="AC66" i="5" s="1"/>
  <c r="L66" i="5"/>
  <c r="K14" i="4"/>
  <c r="V14" i="4"/>
  <c r="N21" i="4"/>
  <c r="Y21" i="4"/>
  <c r="K12" i="4"/>
  <c r="V12" i="4"/>
  <c r="X14" i="5"/>
  <c r="K14" i="5"/>
  <c r="M47" i="5"/>
  <c r="Z47" i="5"/>
  <c r="Z90" i="5"/>
  <c r="AC90" i="5" s="1"/>
  <c r="M90" i="5"/>
  <c r="P90" i="5" s="1"/>
  <c r="R90" i="5" s="1"/>
  <c r="S90" i="5" s="1"/>
  <c r="M59" i="5"/>
  <c r="Z59" i="5"/>
  <c r="K8" i="4"/>
  <c r="V8" i="4"/>
  <c r="N14" i="4"/>
  <c r="Y14" i="4"/>
  <c r="Z95" i="5"/>
  <c r="AC95" i="5" s="1"/>
  <c r="M95" i="5"/>
  <c r="P95" i="5" s="1"/>
  <c r="R95" i="5" s="1"/>
  <c r="S95" i="5" s="1"/>
  <c r="O80" i="5"/>
  <c r="AB80" i="5"/>
  <c r="L14" i="4"/>
  <c r="W14" i="4"/>
  <c r="Y22" i="5"/>
  <c r="L22" i="5"/>
  <c r="X80" i="5"/>
  <c r="K80" i="5"/>
  <c r="V16" i="4"/>
  <c r="Z16" i="4" s="1"/>
  <c r="K16" i="4"/>
  <c r="O16" i="4" s="1"/>
  <c r="Q16" i="4" s="1"/>
  <c r="R16" i="4" s="1"/>
  <c r="M46" i="5"/>
  <c r="P46" i="5" s="1"/>
  <c r="R46" i="5" s="1"/>
  <c r="S46" i="5" s="1"/>
  <c r="Z46" i="5"/>
  <c r="AC46" i="5" s="1"/>
  <c r="Z15" i="5"/>
  <c r="M15" i="5"/>
  <c r="L34" i="5"/>
  <c r="Y34" i="5"/>
  <c r="Z23" i="5"/>
  <c r="AC23" i="5" s="1"/>
  <c r="M23" i="5"/>
  <c r="P23" i="5" s="1"/>
  <c r="R23" i="5" s="1"/>
  <c r="S23" i="5" s="1"/>
  <c r="K79" i="5"/>
  <c r="P79" i="5" s="1"/>
  <c r="R79" i="5" s="1"/>
  <c r="S79" i="5" s="1"/>
  <c r="X79" i="5"/>
  <c r="AC79" i="5" s="1"/>
  <c r="Z29" i="5"/>
  <c r="AC29" i="5" s="1"/>
  <c r="M29" i="5"/>
  <c r="P29" i="5" s="1"/>
  <c r="R29" i="5" s="1"/>
  <c r="S29" i="5" s="1"/>
  <c r="X39" i="5"/>
  <c r="AC39" i="5" s="1"/>
  <c r="K39" i="5"/>
  <c r="P39" i="5" s="1"/>
  <c r="R39" i="5" s="1"/>
  <c r="S39" i="5" s="1"/>
  <c r="Z48" i="5"/>
  <c r="AC48" i="5" s="1"/>
  <c r="M48" i="5"/>
  <c r="P48" i="5" s="1"/>
  <c r="R48" i="5" s="1"/>
  <c r="S48" i="5" s="1"/>
  <c r="Y10" i="4"/>
  <c r="N10" i="4"/>
  <c r="M44" i="5"/>
  <c r="Z44" i="5"/>
  <c r="Z58" i="5"/>
  <c r="M58" i="5"/>
  <c r="X82" i="5"/>
  <c r="K82" i="5"/>
  <c r="L65" i="5"/>
  <c r="P65" i="5" s="1"/>
  <c r="R65" i="5" s="1"/>
  <c r="S65" i="5" s="1"/>
  <c r="Y65" i="5"/>
  <c r="AC65" i="5" s="1"/>
  <c r="Y44" i="5"/>
  <c r="L44" i="5"/>
  <c r="K10" i="4"/>
  <c r="V10" i="4"/>
  <c r="AB91" i="5"/>
  <c r="O91" i="5"/>
  <c r="U14" i="4"/>
  <c r="J14" i="4"/>
  <c r="U10" i="4"/>
  <c r="J10" i="4"/>
  <c r="L42" i="5"/>
  <c r="P42" i="5" s="1"/>
  <c r="R42" i="5" s="1"/>
  <c r="S42" i="5" s="1"/>
  <c r="Y42" i="5"/>
  <c r="AC42" i="5" s="1"/>
  <c r="Z94" i="5"/>
  <c r="AC94" i="5" s="1"/>
  <c r="M94" i="5"/>
  <c r="P94" i="5" s="1"/>
  <c r="R94" i="5" s="1"/>
  <c r="S94" i="5" s="1"/>
  <c r="L11" i="4"/>
  <c r="W11" i="4"/>
  <c r="U15" i="4"/>
  <c r="Z15" i="4" s="1"/>
  <c r="J15" i="4"/>
  <c r="O15" i="4" s="1"/>
  <c r="Q15" i="4" s="1"/>
  <c r="R15" i="4" s="1"/>
  <c r="Z89" i="5"/>
  <c r="AC89" i="5" s="1"/>
  <c r="M89" i="5"/>
  <c r="P89" i="5" s="1"/>
  <c r="R89" i="5" s="1"/>
  <c r="S89" i="5" s="1"/>
  <c r="K35" i="5"/>
  <c r="P35" i="5" s="1"/>
  <c r="R35" i="5" s="1"/>
  <c r="S35" i="5" s="1"/>
  <c r="X35" i="5"/>
  <c r="AC35" i="5" s="1"/>
  <c r="Y15" i="5"/>
  <c r="L15" i="5"/>
  <c r="X61" i="5"/>
  <c r="AC61" i="5" s="1"/>
  <c r="K61" i="5"/>
  <c r="P61" i="5" s="1"/>
  <c r="R61" i="5" s="1"/>
  <c r="S61" i="5" s="1"/>
  <c r="X37" i="5"/>
  <c r="K37" i="5"/>
  <c r="AB36" i="5"/>
  <c r="O36" i="5"/>
  <c r="J8" i="4"/>
  <c r="U8" i="4"/>
  <c r="X78" i="5"/>
  <c r="K78" i="5"/>
  <c r="X12" i="5"/>
  <c r="K12" i="5"/>
  <c r="K56" i="5"/>
  <c r="X56" i="5"/>
  <c r="K34" i="5"/>
  <c r="X34" i="5"/>
  <c r="N61" i="2"/>
  <c r="F32" i="3"/>
  <c r="G32" i="3" s="1"/>
  <c r="N11" i="2"/>
  <c r="F7" i="3"/>
  <c r="G7" i="3" s="1"/>
  <c r="N28" i="2"/>
  <c r="F16" i="3"/>
  <c r="G16" i="3" s="1"/>
  <c r="N42" i="2"/>
  <c r="F23" i="3"/>
  <c r="G23" i="3" s="1"/>
  <c r="N59" i="2"/>
  <c r="F30" i="3"/>
  <c r="G30" i="3" s="1"/>
  <c r="N60" i="2"/>
  <c r="F31" i="3"/>
  <c r="G31" i="3" s="1"/>
  <c r="M10" i="2"/>
  <c r="M31" i="2"/>
  <c r="M30" i="2"/>
  <c r="M29" i="2"/>
  <c r="S29" i="2" s="1"/>
  <c r="M37" i="2"/>
  <c r="M34" i="2"/>
  <c r="S34" i="2" s="1"/>
  <c r="M26" i="2"/>
  <c r="M22" i="2"/>
  <c r="S22" i="2" s="1"/>
  <c r="M20" i="2"/>
  <c r="M12" i="2"/>
  <c r="M14" i="2"/>
  <c r="M13" i="2"/>
  <c r="M48" i="2"/>
  <c r="S48" i="2" s="1"/>
  <c r="M54" i="2"/>
  <c r="M53" i="2"/>
  <c r="M50" i="2"/>
  <c r="S50" i="2" s="1"/>
  <c r="M49" i="2"/>
  <c r="M47" i="2"/>
  <c r="M41" i="2"/>
  <c r="S41" i="2" s="1"/>
  <c r="M40" i="2"/>
  <c r="S40" i="2" s="1"/>
  <c r="M39" i="2"/>
  <c r="S39" i="2" s="1"/>
  <c r="M36" i="2"/>
  <c r="S36" i="2" s="1"/>
  <c r="M35" i="2"/>
  <c r="S35" i="2" s="1"/>
  <c r="M32" i="2"/>
  <c r="M25" i="2"/>
  <c r="S25" i="2" s="1"/>
  <c r="M24" i="2"/>
  <c r="S24" i="2" s="1"/>
  <c r="M23" i="2"/>
  <c r="Z18" i="4" l="1"/>
  <c r="P88" i="5"/>
  <c r="R88" i="5" s="1"/>
  <c r="S88" i="5" s="1"/>
  <c r="Z21" i="4"/>
  <c r="AC60" i="5"/>
  <c r="AC82" i="5"/>
  <c r="P38" i="5"/>
  <c r="R38" i="5" s="1"/>
  <c r="S38" i="5" s="1"/>
  <c r="AC88" i="5"/>
  <c r="AC84" i="5"/>
  <c r="P60" i="5"/>
  <c r="R60" i="5" s="1"/>
  <c r="S60" i="5" s="1"/>
  <c r="AC12" i="5"/>
  <c r="P44" i="5"/>
  <c r="R44" i="5" s="1"/>
  <c r="S44" i="5" s="1"/>
  <c r="O18" i="4"/>
  <c r="Q18" i="4" s="1"/>
  <c r="R18" i="4" s="1"/>
  <c r="AC16" i="5"/>
  <c r="AC78" i="5"/>
  <c r="P91" i="5"/>
  <c r="R91" i="5" s="1"/>
  <c r="S91" i="5" s="1"/>
  <c r="P59" i="5"/>
  <c r="R59" i="5" s="1"/>
  <c r="S59" i="5" s="1"/>
  <c r="P18" i="5"/>
  <c r="R18" i="5" s="1"/>
  <c r="S18" i="5" s="1"/>
  <c r="AC37" i="5"/>
  <c r="P80" i="5"/>
  <c r="R80" i="5" s="1"/>
  <c r="S80" i="5" s="1"/>
  <c r="AC81" i="5"/>
  <c r="P84" i="5"/>
  <c r="R84" i="5" s="1"/>
  <c r="S84" i="5" s="1"/>
  <c r="P56" i="5"/>
  <c r="R56" i="5" s="1"/>
  <c r="S56" i="5" s="1"/>
  <c r="AC80" i="5"/>
  <c r="P81" i="5"/>
  <c r="R81" i="5" s="1"/>
  <c r="S81" i="5" s="1"/>
  <c r="AC56" i="5"/>
  <c r="P78" i="5"/>
  <c r="R78" i="5" s="1"/>
  <c r="S78" i="5" s="1"/>
  <c r="AC44" i="5"/>
  <c r="P36" i="5"/>
  <c r="R36" i="5" s="1"/>
  <c r="S36" i="5" s="1"/>
  <c r="Z8" i="4"/>
  <c r="Z11" i="4"/>
  <c r="P47" i="5"/>
  <c r="R47" i="5" s="1"/>
  <c r="S47" i="5" s="1"/>
  <c r="AC59" i="5"/>
  <c r="N13" i="2"/>
  <c r="S13" i="2"/>
  <c r="AC34" i="5"/>
  <c r="O12" i="4"/>
  <c r="Q12" i="4" s="1"/>
  <c r="R12" i="4" s="1"/>
  <c r="AC18" i="5"/>
  <c r="N14" i="2"/>
  <c r="S14" i="2"/>
  <c r="N30" i="2"/>
  <c r="S30" i="2"/>
  <c r="P34" i="5"/>
  <c r="R34" i="5" s="1"/>
  <c r="S34" i="5" s="1"/>
  <c r="O8" i="4"/>
  <c r="Q8" i="4" s="1"/>
  <c r="R8" i="4" s="1"/>
  <c r="Z14" i="4"/>
  <c r="AC22" i="5"/>
  <c r="AC36" i="5"/>
  <c r="Z12" i="4"/>
  <c r="O11" i="4"/>
  <c r="Q11" i="4" s="1"/>
  <c r="R11" i="4" s="1"/>
  <c r="AC25" i="5"/>
  <c r="AC15" i="5"/>
  <c r="N37" i="2"/>
  <c r="S37" i="2"/>
  <c r="P58" i="5"/>
  <c r="R58" i="5" s="1"/>
  <c r="S58" i="5" s="1"/>
  <c r="O14" i="4"/>
  <c r="Q14" i="4" s="1"/>
  <c r="R14" i="4" s="1"/>
  <c r="P22" i="5"/>
  <c r="R22" i="5" s="1"/>
  <c r="S22" i="5" s="1"/>
  <c r="AC47" i="5"/>
  <c r="P25" i="5"/>
  <c r="R25" i="5" s="1"/>
  <c r="S25" i="5" s="1"/>
  <c r="P15" i="5"/>
  <c r="R15" i="5" s="1"/>
  <c r="S15" i="5" s="1"/>
  <c r="N23" i="2"/>
  <c r="S23" i="2"/>
  <c r="N47" i="2"/>
  <c r="S47" i="2"/>
  <c r="N12" i="2"/>
  <c r="S12" i="2"/>
  <c r="N31" i="2"/>
  <c r="S31" i="2"/>
  <c r="P82" i="5"/>
  <c r="R82" i="5" s="1"/>
  <c r="S82" i="5" s="1"/>
  <c r="P66" i="5"/>
  <c r="R66" i="5" s="1"/>
  <c r="S66" i="5" s="1"/>
  <c r="AC40" i="5"/>
  <c r="N54" i="2"/>
  <c r="S54" i="2"/>
  <c r="N20" i="2"/>
  <c r="S20" i="2"/>
  <c r="N10" i="2"/>
  <c r="S10" i="2"/>
  <c r="AC14" i="5"/>
  <c r="P40" i="5"/>
  <c r="R40" i="5" s="1"/>
  <c r="S40" i="5" s="1"/>
  <c r="AC38" i="5"/>
  <c r="O21" i="4"/>
  <c r="Q21" i="4" s="1"/>
  <c r="R21" i="4" s="1"/>
  <c r="N32" i="2"/>
  <c r="S32" i="2"/>
  <c r="P12" i="5"/>
  <c r="R12" i="5" s="1"/>
  <c r="S12" i="5" s="1"/>
  <c r="P37" i="5"/>
  <c r="R37" i="5" s="1"/>
  <c r="S37" i="5" s="1"/>
  <c r="Z10" i="4"/>
  <c r="P16" i="5"/>
  <c r="R16" i="5" s="1"/>
  <c r="S16" i="5" s="1"/>
  <c r="AC69" i="5"/>
  <c r="AC62" i="5"/>
  <c r="N53" i="2"/>
  <c r="S53" i="2"/>
  <c r="N26" i="2"/>
  <c r="S26" i="2"/>
  <c r="O10" i="4"/>
  <c r="Q10" i="4" s="1"/>
  <c r="R10" i="4" s="1"/>
  <c r="P69" i="5"/>
  <c r="R69" i="5" s="1"/>
  <c r="S69" i="5" s="1"/>
  <c r="P62" i="5"/>
  <c r="R62" i="5" s="1"/>
  <c r="S62" i="5" s="1"/>
  <c r="AC58" i="5"/>
  <c r="AC91" i="5"/>
  <c r="P14" i="5"/>
  <c r="R14" i="5" s="1"/>
  <c r="S14" i="5" s="1"/>
  <c r="F26" i="3"/>
  <c r="G26" i="3" s="1"/>
  <c r="S49" i="2"/>
  <c r="N35" i="2"/>
  <c r="F17" i="3"/>
  <c r="G17" i="3" s="1"/>
  <c r="N48" i="2"/>
  <c r="F25" i="3"/>
  <c r="G25" i="3" s="1"/>
  <c r="N41" i="2"/>
  <c r="F22" i="3"/>
  <c r="G22" i="3" s="1"/>
  <c r="N36" i="2"/>
  <c r="F18" i="3"/>
  <c r="G18" i="3" s="1"/>
  <c r="N40" i="2"/>
  <c r="F21" i="3"/>
  <c r="G21" i="3" s="1"/>
  <c r="N50" i="2"/>
  <c r="F27" i="3"/>
  <c r="G27" i="3" s="1"/>
  <c r="N25" i="2"/>
  <c r="F14" i="3"/>
  <c r="G14" i="3" s="1"/>
  <c r="N22" i="2"/>
  <c r="N49" i="2"/>
  <c r="N39" i="2"/>
  <c r="F20" i="3"/>
  <c r="G20" i="3" s="1"/>
  <c r="N24" i="2"/>
  <c r="F13" i="3"/>
  <c r="G13" i="3" s="1"/>
  <c r="M9" i="2"/>
  <c r="M33" i="2"/>
  <c r="N34" i="2"/>
  <c r="M27" i="2"/>
  <c r="S27" i="2" s="1"/>
  <c r="N29" i="2"/>
  <c r="M21" i="2"/>
  <c r="S21" i="2" s="1"/>
  <c r="M19" i="2"/>
  <c r="S19" i="2" s="1"/>
  <c r="M18" i="2"/>
  <c r="S18" i="2" s="1"/>
  <c r="M8" i="2"/>
  <c r="S8" i="2" s="1"/>
  <c r="M6" i="2"/>
  <c r="S6" i="2" s="1"/>
  <c r="M5" i="2"/>
  <c r="S5" i="2" s="1"/>
  <c r="M4" i="2"/>
  <c r="T58" i="2" l="1"/>
  <c r="N4" i="2"/>
  <c r="S4" i="2"/>
  <c r="N33" i="2"/>
  <c r="S33" i="2"/>
  <c r="T37" i="2" s="1"/>
  <c r="N9" i="2"/>
  <c r="S9" i="2"/>
  <c r="N6" i="2"/>
  <c r="F4" i="3"/>
  <c r="G4" i="3" s="1"/>
  <c r="N18" i="2"/>
  <c r="F8" i="3"/>
  <c r="G8" i="3" s="1"/>
  <c r="N21" i="2"/>
  <c r="F11" i="3"/>
  <c r="G11" i="3" s="1"/>
  <c r="N19" i="2"/>
  <c r="F9" i="3"/>
  <c r="G9" i="3" s="1"/>
  <c r="F12" i="3"/>
  <c r="G12" i="3" s="1"/>
  <c r="N8" i="2"/>
  <c r="F6" i="3"/>
  <c r="G6" i="3" s="1"/>
  <c r="N27" i="2"/>
  <c r="F15" i="3"/>
  <c r="G15" i="3" s="1"/>
  <c r="N5" i="2"/>
  <c r="M3" i="2"/>
  <c r="S3" i="2" s="1"/>
  <c r="M15" i="2"/>
  <c r="N15" i="2" l="1"/>
  <c r="S15" i="2"/>
  <c r="T20" i="2" s="1"/>
  <c r="T87" i="2" s="1"/>
  <c r="N3" i="2"/>
  <c r="F3" i="3"/>
  <c r="G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tc={8054211B-4D11-47D4-98F4-854AE9F122AE}</author>
    <author>tc={B798DA15-C147-4B12-BDE0-8AAF9631C61D}</author>
    <author>tc={B8E2F96A-666B-4138-8EC7-B489D161F37C}</author>
    <author>tc={57218AAE-095D-4A29-BBFB-2EA072DC612B}</author>
    <author>tc={71CF6C18-7349-4DF5-844A-D73DDD7EFCC1}</author>
    <author>tc={8A99ED7F-1CA5-42CE-973E-5690382B1518}</author>
    <author>tc={1342A780-764C-42B6-BC54-95D3DE2B2E44}</author>
    <author>tc={E840CBE1-585C-4184-9629-E3FD25C3FBB4}</author>
    <author>tc={12955502-321C-468E-8CE2-673130429F09}</author>
    <author>tc={DC2BE1E5-577C-4AF3-9DB2-0E04CCC63C77}</author>
    <author>tc={30F53A01-3B28-4EBE-9276-904D7006724D}</author>
    <author>tc={F7E30B11-1566-4D72-8156-F833057388AF}</author>
    <author>tc={DDA4DBD5-F87B-44B8-9234-5B05CBEB63D2}</author>
    <author>tc={C23E2AB7-3E53-45DB-AB5D-66830001842D}</author>
    <author>tc={D3508C65-5E15-4AE4-8295-D99484CF7788}</author>
    <author>tc={FEEDC358-BE1D-4547-BD1B-9FD4147851D9}</author>
    <author>tc={C6354F4C-6698-4751-A1CC-6735E26B64AF}</author>
    <author>tc={BE3D6239-D5C7-43D3-9082-FA53FC37F4F7}</author>
    <author>tc={385032CB-46BC-4BCD-84C5-E043944C3289}</author>
    <author>tc={10ADFE6C-09C6-4075-AF14-FD6C3B61CE9B}</author>
    <author>tc={0EC855E4-F43F-409D-95F7-1B6A8E633E12}</author>
    <author>tc={EA2F9EFE-2691-417A-9CD8-B95B0E9B8E42}</author>
    <author>tc={7AA48C0D-0F38-43D2-A3BC-B6F01D3119D7}</author>
    <author>tc={38BD52B9-820B-44C7-A74E-B89C39B0084F}</author>
    <author>tc={6EBBE257-531F-4216-867C-468F5EF7CB48}</author>
  </authors>
  <commentList>
    <comment ref="K9" authorId="0" shapeId="0" xr:uid="{8054211B-4D11-47D4-98F4-854AE9F122AE}">
      <text>
        <t>[Threaded comment]
Your version of Excel allows you to read this threaded comment; however, any edits to it will get removed if the file is opened in a newer version of Excel. Learn more: https://go.microsoft.com/fwlink/?linkid=870924
Comment:
    We also get 27 Heat Shields &amp; 156 Pot Support from the same nest</t>
      </text>
    </comment>
    <comment ref="K10" authorId="1" shapeId="0" xr:uid="{B798DA15-C147-4B12-BDE0-8AAF9631C61D}">
      <text>
        <t>[Threaded comment]
Your version of Excel allows you to read this threaded comment; however, any edits to it will get removed if the file is opened in a newer version of Excel. Learn more: https://go.microsoft.com/fwlink/?linkid=870924
Comment:
    Laser yield, in production we get 156 Pot Supports from the Conedeck Nest</t>
      </text>
    </comment>
    <comment ref="K12" authorId="2" shapeId="0" xr:uid="{B8E2F96A-666B-4138-8EC7-B489D161F37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qnty we get from a full sheet nest. We currently get 27 HS from the same nest as Conedeck nest (with 27 Conedecks) during normal production</t>
      </text>
    </comment>
    <comment ref="K15" authorId="3" shapeId="0" xr:uid="{57218AAE-095D-4A29-BBFB-2EA072DC612B}">
      <text>
        <t>[Threaded comment]
Your version of Excel allows you to read this threaded comment; however, any edits to it will get removed if the file is opened in a newer version of Excel. Learn more: https://go.microsoft.com/fwlink/?linkid=870924
Comment:
    &amp; 12 False Bottoms &amp; 26 Feet</t>
      </text>
    </comment>
    <comment ref="K20" authorId="4" shapeId="0" xr:uid="{71CF6C18-7349-4DF5-844A-D73DDD7EFCC1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Laser</t>
      </text>
    </comment>
    <comment ref="M20" authorId="5" shapeId="0" xr:uid="{8A99ED7F-1CA5-42CE-973E-5690382B1518}">
      <text>
        <t>[Threaded comment]
Your version of Excel allows you to read this threaded comment; however, any edits to it will get removed if the file is opened in a newer version of Excel. Learn more: https://go.microsoft.com/fwlink/?linkid=870924
Comment:
    Laser yield</t>
      </text>
    </comment>
    <comment ref="K22" authorId="6" shapeId="0" xr:uid="{1342A780-764C-42B6-BC54-95D3DE2B2E44}">
      <text>
        <t>[Threaded comment]
Your version of Excel allows you to read this threaded comment; however, any edits to it will get removed if the file is opened in a newer version of Excel. Learn more: https://go.microsoft.com/fwlink/?linkid=870924
Comment:
    Yield for a full sheet, we get this from Bottom nest in normal production</t>
      </text>
    </comment>
    <comment ref="K27" authorId="7" shapeId="0" xr:uid="{E840CBE1-585C-4184-9629-E3FD25C3FBB4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gives an equivalent number of Heat Shield, HS Tabs 1 &amp; 2</t>
      </text>
    </comment>
    <comment ref="K29" authorId="8" shapeId="0" xr:uid="{12955502-321C-468E-8CE2-673130429F0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qnty we get from a full sheet nest. We currently get 27 HS from the same nest as Conedeck nest (with 27 Conedecks) during normal production</t>
      </text>
    </comment>
    <comment ref="K30" authorId="9" shapeId="0" xr:uid="{DC2BE1E5-577C-4AF3-9DB2-0E04CCC63C77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Conedeck nest</t>
      </text>
    </comment>
    <comment ref="K31" authorId="10" shapeId="0" xr:uid="{30F53A01-3B28-4EBE-9276-904D7006724D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Conedeck nest</t>
      </text>
    </comment>
    <comment ref="K33" authorId="11" shapeId="0" xr:uid="{F7E30B11-1566-4D72-8156-F833057388AF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an equivalent number of Bridge Hat &amp; Insulation Retainer</t>
      </text>
    </comment>
    <comment ref="K37" authorId="12" shapeId="0" xr:uid="{DDA4DBD5-F87B-44B8-9234-5B05CBEB63D2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Laser</t>
      </text>
    </comment>
    <comment ref="M37" authorId="13" shapeId="0" xr:uid="{C23E2AB7-3E53-45DB-AB5D-66830001842D}">
      <text>
        <t>[Threaded comment]
Your version of Excel allows you to read this threaded comment; however, any edits to it will get removed if the file is opened in a newer version of Excel. Learn more: https://go.microsoft.com/fwlink/?linkid=870924
Comment:
    Laser yield</t>
      </text>
    </comment>
    <comment ref="K38" authorId="14" shapeId="0" xr:uid="{D3508C65-5E15-4AE4-8295-D99484CF7788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makes 10 False Bottoms</t>
      </text>
    </comment>
    <comment ref="K42" authorId="15" shapeId="0" xr:uid="{FEEDC358-BE1D-4547-BD1B-9FD4147851D9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Laser</t>
      </text>
    </comment>
    <comment ref="M42" authorId="16" shapeId="0" xr:uid="{C6354F4C-6698-4751-A1CC-6735E26B64AF}">
      <text>
        <t>[Threaded comment]
Your version of Excel allows you to read this threaded comment; however, any edits to it will get removed if the file is opened in a newer version of Excel. Learn more: https://go.microsoft.com/fwlink/?linkid=870924
Comment:
    Laser yield</t>
      </text>
    </comment>
    <comment ref="K48" authorId="17" shapeId="0" xr:uid="{BE3D6239-D5C7-43D3-9082-FA53FC37F4F7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makes equivalent # of Potskirt washers (zero costed)</t>
      </text>
    </comment>
    <comment ref="K51" authorId="18" shapeId="0" xr:uid="{385032CB-46BC-4BCD-84C5-E043944C3289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equivalent # of Pot Supports, Ash Tray Handle &amp; Ash Tray Door</t>
      </text>
    </comment>
    <comment ref="K55" authorId="19" shapeId="0" xr:uid="{10ADFE6C-09C6-4075-AF14-FD6C3B61CE9B}">
      <text>
        <t>[Threaded comment]
Your version of Excel allows you to read this threaded comment; however, any edits to it will get removed if the file is opened in a newer version of Excel. Learn more: https://go.microsoft.com/fwlink/?linkid=870924
Comment:
    Laser Yield</t>
      </text>
    </comment>
    <comment ref="L55" authorId="20" shapeId="0" xr:uid="{0EC855E4-F43F-409D-95F7-1B6A8E633E12}">
      <text>
        <t>[Threaded comment]
Your version of Excel allows you to read this threaded comment; however, any edits to it will get removed if the file is opened in a newer version of Excel. Learn more: https://go.microsoft.com/fwlink/?linkid=870924
Comment:
    Yield from Shear</t>
      </text>
    </comment>
    <comment ref="M55" authorId="21" shapeId="0" xr:uid="{EA2F9EFE-2691-417A-9CD8-B95B0E9B8E42}">
      <text>
        <t>[Threaded comment]
Your version of Excel allows you to read this threaded comment; however, any edits to it will get removed if the file is opened in a newer version of Excel. Learn more: https://go.microsoft.com/fwlink/?linkid=870924
Comment:
    Laser Yield</t>
      </text>
    </comment>
    <comment ref="K56" authorId="22" shapeId="0" xr:uid="{7AA48C0D-0F38-43D2-A3BC-B6F01D3119D7}">
      <text>
        <t>[Threaded comment]
Your version of Excel allows you to read this threaded comment; however, any edits to it will get removed if the file is opened in a newer version of Excel. Learn more: https://go.microsoft.com/fwlink/?linkid=870924
Comment:
    Laser Yield</t>
      </text>
    </comment>
    <comment ref="L56" authorId="23" shapeId="0" xr:uid="{38BD52B9-820B-44C7-A74E-B89C39B0084F}">
      <text>
        <t>[Threaded comment]
Your version of Excel allows you to read this threaded comment; however, any edits to it will get removed if the file is opened in a newer version of Excel. Learn more: https://go.microsoft.com/fwlink/?linkid=870924
Comment:
    Yield from Shear</t>
      </text>
    </comment>
    <comment ref="M56" authorId="24" shapeId="0" xr:uid="{6EBBE257-531F-4216-867C-468F5EF7CB48}">
      <text>
        <t>[Threaded comment]
Your version of Excel allows you to read this threaded comment; however, any edits to it will get removed if the file is opened in a newer version of Excel. Learn more: https://go.microsoft.com/fwlink/?linkid=870924
Comment:
    Laser Yield</t>
      </text>
    </comment>
  </commentList>
</comments>
</file>

<file path=xl/sharedStrings.xml><?xml version="1.0" encoding="utf-8"?>
<sst xmlns="http://schemas.openxmlformats.org/spreadsheetml/2006/main" count="878" uniqueCount="244">
  <si>
    <t>Monthly Production Forecast (+2days Buffer)</t>
  </si>
  <si>
    <t>Monthly Actual Production</t>
  </si>
  <si>
    <t>KCB2</t>
  </si>
  <si>
    <t>KCA5
(&amp; Kits)</t>
  </si>
  <si>
    <t>KWB3.1
(&amp; Kits)</t>
  </si>
  <si>
    <t>KCA3.5</t>
  </si>
  <si>
    <t>KAB3
(&amp; Kits)</t>
  </si>
  <si>
    <t>Material Part #</t>
  </si>
  <si>
    <t>Raw Material Description</t>
  </si>
  <si>
    <t>Sheet Weight</t>
  </si>
  <si>
    <t>Material Requirement/ Product</t>
  </si>
  <si>
    <t>Projected Monthly Material Requirement (Kgs)</t>
  </si>
  <si>
    <t>Opening Material Balance (Kg)</t>
  </si>
  <si>
    <t>Net Material Requirement (Kg)</t>
  </si>
  <si>
    <t>Net Material Requirement (Pcs)</t>
  </si>
  <si>
    <t>Projected Scrap</t>
  </si>
  <si>
    <t>Expected Material Consumption based on Actual Products Made</t>
  </si>
  <si>
    <t>Actual Monthly Material Consumption (Kg)</t>
  </si>
  <si>
    <t>Actual Scrap</t>
  </si>
  <si>
    <t>Material Use Variance [Expected vs Actual]</t>
  </si>
  <si>
    <t>Reason (s) for Variance</t>
  </si>
  <si>
    <t>Closing Material Balances (Kg)</t>
  </si>
  <si>
    <t>KCA5</t>
  </si>
  <si>
    <t>KWB3.1</t>
  </si>
  <si>
    <t>KAB3</t>
  </si>
  <si>
    <t>All Products</t>
  </si>
  <si>
    <t>%</t>
  </si>
  <si>
    <t>Kgs</t>
  </si>
  <si>
    <t>AZ150 0.6mm Galvalume Coated Carbon Steel; Sheet; 1219mm W × 2300mm L</t>
  </si>
  <si>
    <t>10072B</t>
  </si>
  <si>
    <t>AZ100 0.7 Galvalume Sheet; 1219mm W x 2438mm L</t>
  </si>
  <si>
    <t>SS439; Sheet; With PVC Coating; 0.6mm thk x 1219mm W ×  2438mm L</t>
  </si>
  <si>
    <t>SS439; Sheet; With PVC Coating; 0.8mm thk × 1219mm W x 2438mm L</t>
  </si>
  <si>
    <t>SS321; Sheet; 1.5mm thk × 1000mm W x 2660mm L</t>
  </si>
  <si>
    <t>10070B</t>
  </si>
  <si>
    <t>1008 0.6 CRCA Carbon Steel; Sheet; 1219mm W × 2675mm L</t>
  </si>
  <si>
    <t>SS201; Sheet; With PVC Coating; 0.5mm thk x 1219.2mm W × 2675mm L; Hairline</t>
  </si>
  <si>
    <t>Carbon Steel Tubing; 10mm OD x 1mm wall x 3m L</t>
  </si>
  <si>
    <t>AZ150 0.6mm Galvalume Coated Steel Sheet; 1219mm w x 2500mm L (DX53D)</t>
  </si>
  <si>
    <t>11213B</t>
  </si>
  <si>
    <t>SS201; Sheet; With PVC Coating; 0.4mm thk x 1219mm W ×  2438mm L; Hairline</t>
  </si>
  <si>
    <t>SS201; Sheet; Without PVC Coating; 0.8mm thk x 1219mm W × 2438mm L; BA Finish</t>
  </si>
  <si>
    <t>SS201; Sheet; With PVC Coating; 0.4mm thk x 1219mm × 2190mm L; Hairline</t>
  </si>
  <si>
    <t>10296A</t>
  </si>
  <si>
    <t>AZ100 0.2 Galvalume Sheet; 975mm W x 2438mm L</t>
  </si>
  <si>
    <t>11040B</t>
  </si>
  <si>
    <t>SS304; Sheet; 1.2mm thk × 1219.2mm W × 2620mm L</t>
  </si>
  <si>
    <t>SS439; Sheet; 1.2mm thk × 1219mm W ×  2438mm L</t>
  </si>
  <si>
    <t>SS304; Sheet; 0.8mm x 1219mm W ×  2438mm L</t>
  </si>
  <si>
    <t>SS201; Wire; 4mm dia x 2400mm L</t>
  </si>
  <si>
    <t>SS201; Wire; 3mm dia x 2400mm L</t>
  </si>
  <si>
    <t>Weekly Production Forecast</t>
  </si>
  <si>
    <t>Weekly Actual Production</t>
  </si>
  <si>
    <t>Week2</t>
  </si>
  <si>
    <t>Week3</t>
  </si>
  <si>
    <t>Week4</t>
  </si>
  <si>
    <t>Week5</t>
  </si>
  <si>
    <t>Projected Weekly Material Requirement (Kgs)</t>
  </si>
  <si>
    <t>Material Physically Received (Kg)</t>
  </si>
  <si>
    <t>Material Transferred to Prod. In NAV (Kg)</t>
  </si>
  <si>
    <t>Expected Material Consumption based on Actual Products Made(Kgs)</t>
  </si>
  <si>
    <t>Actual Weekly Material Consumption (Kgs)</t>
  </si>
  <si>
    <t>Any change in Material within the Week on the Final Product (TPD/ ECN)?</t>
  </si>
  <si>
    <t>Any other reason for Variance?</t>
  </si>
  <si>
    <t>Actual Monthly Material Consumption (Kgs)</t>
  </si>
  <si>
    <t>RAW MATERIAL REQUISITION &amp; RECEIPT FORM</t>
  </si>
  <si>
    <t>FACILITY:</t>
  </si>
  <si>
    <t>_____________________________</t>
  </si>
  <si>
    <t>DATE:</t>
  </si>
  <si>
    <t>Production Supervisor:</t>
  </si>
  <si>
    <t>WEEK NO.:</t>
  </si>
  <si>
    <t>Key Operator:</t>
  </si>
  <si>
    <t>Part No.</t>
  </si>
  <si>
    <t>Material Descritpion</t>
  </si>
  <si>
    <t>Weekly Quantity Requested (Kgs)</t>
  </si>
  <si>
    <t>Quantity Received</t>
  </si>
  <si>
    <t>Monday</t>
  </si>
  <si>
    <t>Tuesday</t>
  </si>
  <si>
    <t>Wednesday</t>
  </si>
  <si>
    <t>Thursday</t>
  </si>
  <si>
    <t>Friday</t>
  </si>
  <si>
    <t>Saturday</t>
  </si>
  <si>
    <t>Sunday</t>
  </si>
  <si>
    <t>Weekly Total Received (Kgs)</t>
  </si>
  <si>
    <t>Comments</t>
  </si>
  <si>
    <t>Qty Requested</t>
  </si>
  <si>
    <t>Qty Received</t>
  </si>
  <si>
    <t>Production Supervisor Sign Off:</t>
  </si>
  <si>
    <t>Warehouse Supervisor Sign Off:</t>
  </si>
  <si>
    <t xml:space="preserve">Remarks: </t>
  </si>
  <si>
    <t>MON:</t>
  </si>
  <si>
    <t>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</t>
  </si>
  <si>
    <t>TUE:</t>
  </si>
  <si>
    <t>WED:</t>
  </si>
  <si>
    <t>THUR:</t>
  </si>
  <si>
    <t>FRI:</t>
  </si>
  <si>
    <t>SAT:</t>
  </si>
  <si>
    <t>SUN:</t>
  </si>
  <si>
    <t>Production Representative:</t>
  </si>
  <si>
    <t>____________________________________________________</t>
  </si>
  <si>
    <t>Date:</t>
  </si>
  <si>
    <t>______________________________</t>
  </si>
  <si>
    <t>Sign:</t>
  </si>
  <si>
    <t>Warehouse Representative:</t>
  </si>
  <si>
    <t>Production Manager:</t>
  </si>
  <si>
    <t>Product</t>
  </si>
  <si>
    <t>Utilization/ Stove (NAV)</t>
  </si>
  <si>
    <t>Utilization/ Stove (Calculated)</t>
  </si>
  <si>
    <t>Variance [NAV vs Calc]</t>
  </si>
  <si>
    <t>Theoretical Scrap %</t>
  </si>
  <si>
    <t>SS439; Sheet; With PVC Coating; 0.8mm thk × 1219mm</t>
  </si>
  <si>
    <t>SS439; Sheet; With PVC Coating; 0.8mm thk × 1219mmW x 2438mm L</t>
  </si>
  <si>
    <t>KCA3.5 SOM</t>
  </si>
  <si>
    <t>1009 0.6 CRCA Carbon Steel; Sheet; 1219mm W × 2675mm L</t>
  </si>
  <si>
    <t>Utilization/ pc in NAV (Kg)</t>
  </si>
  <si>
    <t>Qnty/ Stove</t>
  </si>
  <si>
    <t>Shear Plan Available?</t>
  </si>
  <si>
    <t>Nesting Plan Available?</t>
  </si>
  <si>
    <t>Material match - BOM vs Shear/ Nest Plan</t>
  </si>
  <si>
    <t>Sheet Weight
(Kg)</t>
  </si>
  <si>
    <t>Parts/ Sheet</t>
  </si>
  <si>
    <t>Current BOM Utilization (Kg)</t>
  </si>
  <si>
    <t>Calculated Utilization (Kg)</t>
  </si>
  <si>
    <t>Variance (Kg)</t>
  </si>
  <si>
    <t>Sheet Wt Used in BOM Calc (Kg)</t>
  </si>
  <si>
    <t>Actual Part Wt (Kg)</t>
  </si>
  <si>
    <t>% Factored Scrap</t>
  </si>
  <si>
    <t>Remarks</t>
  </si>
  <si>
    <t>Column1</t>
  </si>
  <si>
    <t>Bridge; Flat With Holes; KCA4</t>
  </si>
  <si>
    <t>Y</t>
  </si>
  <si>
    <t>N - 2438L  vs 2300L in BOM, no effect on # of parts</t>
  </si>
  <si>
    <t>Shear plan needs revision, offcut from 2438L can make 3 Bottoms, 2300L can't but can do KCA4 False Bottom</t>
  </si>
  <si>
    <t>Needs an official shear Plan</t>
  </si>
  <si>
    <t>Bridge Hat; Flat Laser-cut; KCB2</t>
  </si>
  <si>
    <t>False Bottom; Fully formed; KCA4</t>
  </si>
  <si>
    <t>Ash Tray; Formed; KCA4</t>
  </si>
  <si>
    <t>Door; Formed With Emboss; KCA4</t>
  </si>
  <si>
    <t>N</t>
  </si>
  <si>
    <t>Needs a new shear plan</t>
  </si>
  <si>
    <t>Ash Tray Handle Strip; Flat; KCA2</t>
  </si>
  <si>
    <t>Confirm the # in the shear plan is attainable, if not update number specified on the shear plan</t>
  </si>
  <si>
    <t>Cone Deck; Formed; KCB2</t>
  </si>
  <si>
    <t>Request for a full nest of Heat Shields &amp; Pot Supports &amp; determine how many we'd get, subtract to determine CD usage</t>
  </si>
  <si>
    <t>Done</t>
  </si>
  <si>
    <t>Pot Support; KCB2</t>
  </si>
  <si>
    <t>Get a full PS nest</t>
  </si>
  <si>
    <t>Combustion Chamber; Formed ; KCB2</t>
  </si>
  <si>
    <t>No shear plan in Master Data, request for one, also confirm if it's possible to get a pdf laser nest for this</t>
  </si>
  <si>
    <t>Heat Shield; Flanged With Holes ; KCA5</t>
  </si>
  <si>
    <t>Get a full HS nest</t>
  </si>
  <si>
    <t>Heat Shield Tab 1; Blank; KCA5</t>
  </si>
  <si>
    <t>Request a full nest, parts from MMJ CD nest not sufficient. Do a review of MMJ CD nest - naming inter-changed, can we add more on the nest to support MMX?</t>
  </si>
  <si>
    <t>Heat Shield Tab 2; Flat; KCA5</t>
  </si>
  <si>
    <t>Bottom; Formed; KCA4</t>
  </si>
  <si>
    <t>Shear plan for the right sheet</t>
  </si>
  <si>
    <t>Foot; Formed; KCA4</t>
  </si>
  <si>
    <t>Do a new shear plan for KCA4 Foot</t>
  </si>
  <si>
    <t>SB Handle unformed; 10mm OD MS Tube; KCA2</t>
  </si>
  <si>
    <t>N/A</t>
  </si>
  <si>
    <t>TBD</t>
  </si>
  <si>
    <t>Side Body; punched; ECOA; un-coated; KCB2</t>
  </si>
  <si>
    <t>Logo Backing Plate; 52.0mm W × 171.9mm L; KCA5</t>
  </si>
  <si>
    <t>Serialized Logo; Laser Marked; KCB2</t>
  </si>
  <si>
    <t>Shear plan outdated, needs to be updated</t>
  </si>
  <si>
    <t>Bridge Wall; Flat With formed rails; KCA5</t>
  </si>
  <si>
    <t>Bridge Hat; Flat with holes; KCA5</t>
  </si>
  <si>
    <t>Bridge Base; Fully formed with holes; KCA5</t>
  </si>
  <si>
    <t>Material part # on shear plan needs updating</t>
  </si>
  <si>
    <t>Ash Tray; Formed with holes; KCA5</t>
  </si>
  <si>
    <t>Door; with emboss; KCA5; RevA</t>
  </si>
  <si>
    <t>Ash Tray Handle; Formed; KCA5</t>
  </si>
  <si>
    <t>Review - nesting plan material doesn't match with BOM material</t>
  </si>
  <si>
    <t>Deck; Formed with holes; KCA5</t>
  </si>
  <si>
    <t>Request for full nests of HS Tab1 &amp; HS Tab 2</t>
  </si>
  <si>
    <t>Combustion Chamber; Formed ; KCA5</t>
  </si>
  <si>
    <t>Request for a nest</t>
  </si>
  <si>
    <t>Pot Support; Formed with bend; KCA5</t>
  </si>
  <si>
    <t>Bottom; Formed with holes; KCA5</t>
  </si>
  <si>
    <t>Request for a full nest of Bridge Hat &amp; Insulation Retainers
NPD projection was at 40parts/ sheet - review Max</t>
  </si>
  <si>
    <t>Insulation Retainer; Bent Tabs; KCA5</t>
  </si>
  <si>
    <t>Sidebody; With Jikokoa Emboss; KCA5</t>
  </si>
  <si>
    <t>Request an update of the nest with the right size of material</t>
  </si>
  <si>
    <t>Side Body Handle; WIP; KCA5</t>
  </si>
  <si>
    <t>Serialized Logo; Laser-marked; KS; KCA5</t>
  </si>
  <si>
    <t>Side Body; Embossed; Pierced; KWB3.1</t>
  </si>
  <si>
    <t>Front plate; Embossed; Pierced; KWB3.1</t>
  </si>
  <si>
    <t>Heat Shroud; Flat; KWB3.0</t>
  </si>
  <si>
    <t>Serialized Logo; Laser-marked; KS; KWB3</t>
  </si>
  <si>
    <t>Nest needed (same across all products)</t>
  </si>
  <si>
    <t>Bottom; Pierced &amp; Formed; KWB3.0</t>
  </si>
  <si>
    <t>Foot; Formed; KWB3.0</t>
  </si>
  <si>
    <t>Bridge; Formed; Flat; KWB3.0</t>
  </si>
  <si>
    <t>False Bottom; Formed; KWB3.1</t>
  </si>
  <si>
    <t>Do a shear plan for a full sheet</t>
  </si>
  <si>
    <t>Swing Door; Flat With Emboss; KWA1</t>
  </si>
  <si>
    <t>Combustion Chamber; 1-piece Formed; KWB3.1</t>
  </si>
  <si>
    <t>Firebox Top Panel; Flat; KWB3.0</t>
  </si>
  <si>
    <t>Woodshelf; Formed; KWB3.0</t>
  </si>
  <si>
    <t>Cone Deck; Formed; KWB3.0</t>
  </si>
  <si>
    <t>Request for a full nest of Pot Supports, Ash Tray Handle &amp; Ash Tray Door</t>
  </si>
  <si>
    <t>Pot Support; Formed; KWB3.0</t>
  </si>
  <si>
    <t>Request for a full nest</t>
  </si>
  <si>
    <t>Riser; Flat; KWB2.2</t>
  </si>
  <si>
    <t>Ash Tray Based; Formed; KWB3.0</t>
  </si>
  <si>
    <t>Ash Tray Door; Formed; KWA1</t>
  </si>
  <si>
    <t>BOM number from shear plan, carried over from KWB2.1</t>
  </si>
  <si>
    <t>Ash Tray Handle; Formed; KWB2.2</t>
  </si>
  <si>
    <t>Swing Shelf Rails; Formed 2D; KWB3.0</t>
  </si>
  <si>
    <t>*Swingshelf Rods</t>
  </si>
  <si>
    <t>Pot Skirt Wall; Flat; KAB3</t>
  </si>
  <si>
    <t>Spacer; Formed; KAB2</t>
  </si>
  <si>
    <t>C - Braket; Formed; KAB1</t>
  </si>
  <si>
    <t>Washer; Laser Cut; Flat; KAB1</t>
  </si>
  <si>
    <t xml:space="preserve">SS304; Sheet; 1.2mm thk × 1219.2mm W × 2620mm L </t>
  </si>
  <si>
    <t>Cam Lever; Formed; KAB2</t>
  </si>
  <si>
    <t>Fang; Flat; KAB3</t>
  </si>
  <si>
    <t>Bridge; Flat With Holes; KCA2</t>
  </si>
  <si>
    <t>Bridge Hat; Flat; KCA2</t>
  </si>
  <si>
    <t>False Bottom; Flat With Hole; KCA2</t>
  </si>
  <si>
    <t>Ash Tray Rails; Formed; KCA2</t>
  </si>
  <si>
    <t>Ash Tray Band; Flat; KCA2</t>
  </si>
  <si>
    <t>Door; Formed With Emboss; KCA2</t>
  </si>
  <si>
    <t>Deck; Formed &amp; Castled; Rev A; KCA3.5</t>
  </si>
  <si>
    <t>Pot Support; Formed; KCA3</t>
  </si>
  <si>
    <t>Heat Shield; Formed; KCA4</t>
  </si>
  <si>
    <t>Heat Shield Tab; Blank; KCA4; 10mm W x 30mm Long</t>
  </si>
  <si>
    <t>Bottom; Formed; KCA2</t>
  </si>
  <si>
    <t>Foot; Formed; KWA1</t>
  </si>
  <si>
    <t>Side Body; punched; un-coated; KCA3.5</t>
  </si>
  <si>
    <t>1008 CRCA Carbon Steel; Strip;0.6mm thk × 52.0mm W</t>
  </si>
  <si>
    <t>Cutout with holes from Side Body G3.5</t>
  </si>
  <si>
    <t>1010 0.6 CRCA Carbon Steel; Sheet; 1219mm W × 2675mm L</t>
  </si>
  <si>
    <t>Logo; Flat WIPB; KCA2</t>
  </si>
  <si>
    <t>Logo; Flat With Holes; for Serialization</t>
  </si>
  <si>
    <t>Side Body Handle; Formed WIPC Without Hole; KCA2</t>
  </si>
  <si>
    <t>Ash Tray; Formed; KCA2</t>
  </si>
  <si>
    <t>Combustion Chamber; Flanged; KCA3.5</t>
  </si>
  <si>
    <t>Expected Scrap per Stove (Kg)2</t>
  </si>
  <si>
    <t>Expected Scrap per Part (Kg)</t>
  </si>
  <si>
    <t>Av % scrap/ Product</t>
  </si>
  <si>
    <t xml:space="preserve">	Material Description</t>
  </si>
  <si>
    <t>Component/Part</t>
  </si>
  <si>
    <t>Material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</si>
</sst>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8"/>
      <color theme="1"/>
      <name val="Cambria"/>
      <family val="1"/>
    </font>
    <font>
      <i/>
      <sz val="9"/>
      <color theme="1"/>
      <name val="Cambria"/>
      <family val="1"/>
    </font>
    <font>
      <b/>
      <i/>
      <sz val="9"/>
      <color theme="1"/>
      <name val="Cambria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ernard MT Condensed"/>
      <family val="1"/>
    </font>
    <font>
      <sz val="9.5"/>
      <color theme="1"/>
      <name val="Segoe UI"/>
      <family val="2"/>
    </font>
    <font>
      <b/>
      <sz val="22"/>
      <color theme="1"/>
      <name val="Segoe UI"/>
      <family val="2"/>
    </font>
    <font>
      <b/>
      <sz val="9.5"/>
      <color theme="1"/>
      <name val="Segoe UI"/>
      <family val="2"/>
    </font>
    <font>
      <sz val="9.5"/>
      <color theme="1"/>
      <name val="Segoe UI"/>
    </font>
    <font>
      <sz val="9"/>
      <color rgb="FFFF0000"/>
      <name val="Cambria"/>
      <family val="1"/>
    </font>
  </fonts>
  <fills count="3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DF9F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AFD9F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5B3F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49"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left" vertical="center" indent="1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4" fillId="5" borderId="0" xfId="0" applyFont="1" applyFill="1"/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4" fillId="7" borderId="0" xfId="0" applyFont="1" applyFill="1"/>
    <xf numFmtId="0" fontId="5" fillId="7" borderId="0" xfId="0" applyFont="1" applyFill="1"/>
    <xf numFmtId="0" fontId="5" fillId="7" borderId="0" xfId="0" applyFont="1" applyFill="1" applyAlignment="1">
      <alignment horizontal="center"/>
    </xf>
    <xf numFmtId="0" fontId="3" fillId="8" borderId="0" xfId="0" applyFont="1" applyFill="1"/>
    <xf numFmtId="0" fontId="3" fillId="8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3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 vertical="center"/>
    </xf>
    <xf numFmtId="165" fontId="3" fillId="5" borderId="0" xfId="0" applyNumberFormat="1" applyFont="1" applyFill="1" applyAlignment="1">
      <alignment horizontal="center"/>
    </xf>
    <xf numFmtId="166" fontId="3" fillId="5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5" borderId="0" xfId="0" applyFont="1" applyFill="1" applyAlignment="1">
      <alignment vertical="center" wrapText="1"/>
    </xf>
    <xf numFmtId="164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165" fontId="3" fillId="6" borderId="0" xfId="0" applyNumberFormat="1" applyFont="1" applyFill="1" applyAlignment="1">
      <alignment horizontal="center"/>
    </xf>
    <xf numFmtId="164" fontId="3" fillId="6" borderId="0" xfId="0" applyNumberFormat="1" applyFont="1" applyFill="1" applyAlignment="1">
      <alignment horizontal="center"/>
    </xf>
    <xf numFmtId="164" fontId="3" fillId="6" borderId="0" xfId="0" applyNumberFormat="1" applyFont="1" applyFill="1" applyAlignment="1">
      <alignment horizontal="center" vertical="center"/>
    </xf>
    <xf numFmtId="0" fontId="3" fillId="12" borderId="0" xfId="0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5" fontId="3" fillId="7" borderId="0" xfId="0" applyNumberFormat="1" applyFont="1" applyFill="1" applyAlignment="1">
      <alignment horizontal="center"/>
    </xf>
    <xf numFmtId="0" fontId="3" fillId="9" borderId="0" xfId="0" applyFont="1" applyFill="1" applyAlignment="1">
      <alignment horizontal="center"/>
    </xf>
    <xf numFmtId="165" fontId="3" fillId="11" borderId="0" xfId="0" applyNumberFormat="1" applyFont="1" applyFill="1" applyAlignment="1">
      <alignment horizontal="center"/>
    </xf>
    <xf numFmtId="165" fontId="3" fillId="9" borderId="0" xfId="0" applyNumberFormat="1" applyFont="1" applyFill="1" applyAlignment="1">
      <alignment horizontal="center"/>
    </xf>
    <xf numFmtId="0" fontId="3" fillId="9" borderId="0" xfId="0" applyFont="1" applyFill="1"/>
    <xf numFmtId="0" fontId="3" fillId="13" borderId="0" xfId="0" applyFont="1" applyFill="1"/>
    <xf numFmtId="166" fontId="3" fillId="11" borderId="0" xfId="0" applyNumberFormat="1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164" fontId="3" fillId="9" borderId="0" xfId="0" applyNumberFormat="1" applyFont="1" applyFill="1" applyAlignment="1">
      <alignment horizontal="center" vertical="center"/>
    </xf>
    <xf numFmtId="164" fontId="3" fillId="9" borderId="0" xfId="0" applyNumberFormat="1" applyFont="1" applyFill="1" applyAlignment="1">
      <alignment horizontal="center"/>
    </xf>
    <xf numFmtId="165" fontId="3" fillId="14" borderId="0" xfId="0" applyNumberFormat="1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3" fillId="14" borderId="0" xfId="0" applyFont="1" applyFill="1"/>
    <xf numFmtId="164" fontId="3" fillId="13" borderId="0" xfId="0" applyNumberFormat="1" applyFont="1" applyFill="1" applyAlignment="1">
      <alignment horizontal="center"/>
    </xf>
    <xf numFmtId="166" fontId="3" fillId="15" borderId="0" xfId="0" applyNumberFormat="1" applyFont="1" applyFill="1" applyAlignment="1">
      <alignment horizontal="center"/>
    </xf>
    <xf numFmtId="0" fontId="3" fillId="15" borderId="0" xfId="0" applyFont="1" applyFill="1"/>
    <xf numFmtId="164" fontId="3" fillId="15" borderId="0" xfId="0" applyNumberFormat="1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164" fontId="3" fillId="14" borderId="0" xfId="0" applyNumberFormat="1" applyFont="1" applyFill="1" applyAlignment="1">
      <alignment horizontal="center"/>
    </xf>
    <xf numFmtId="2" fontId="3" fillId="11" borderId="0" xfId="0" applyNumberFormat="1" applyFont="1" applyFill="1" applyAlignment="1">
      <alignment horizontal="center"/>
    </xf>
    <xf numFmtId="167" fontId="3" fillId="11" borderId="0" xfId="0" applyNumberFormat="1" applyFont="1" applyFill="1" applyAlignment="1">
      <alignment horizontal="center"/>
    </xf>
    <xf numFmtId="164" fontId="3" fillId="8" borderId="0" xfId="0" applyNumberFormat="1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165" fontId="3" fillId="16" borderId="0" xfId="0" applyNumberFormat="1" applyFont="1" applyFill="1" applyAlignment="1">
      <alignment horizontal="center"/>
    </xf>
    <xf numFmtId="166" fontId="3" fillId="16" borderId="0" xfId="0" applyNumberFormat="1" applyFont="1" applyFill="1" applyAlignment="1">
      <alignment horizontal="center"/>
    </xf>
    <xf numFmtId="164" fontId="3" fillId="16" borderId="0" xfId="0" applyNumberFormat="1" applyFont="1" applyFill="1" applyAlignment="1">
      <alignment horizontal="center"/>
    </xf>
    <xf numFmtId="0" fontId="3" fillId="16" borderId="0" xfId="0" applyFont="1" applyFill="1"/>
    <xf numFmtId="165" fontId="3" fillId="17" borderId="0" xfId="0" applyNumberFormat="1" applyFont="1" applyFill="1" applyAlignment="1">
      <alignment horizontal="center"/>
    </xf>
    <xf numFmtId="2" fontId="3" fillId="17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" fillId="18" borderId="1" xfId="0" applyFont="1" applyFill="1" applyBorder="1" applyAlignment="1">
      <alignment vertical="center"/>
    </xf>
    <xf numFmtId="0" fontId="1" fillId="18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12" borderId="1" xfId="0" applyFill="1" applyBorder="1" applyAlignment="1">
      <alignment horizontal="center"/>
    </xf>
    <xf numFmtId="164" fontId="0" fillId="12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3" fillId="12" borderId="0" xfId="0" applyNumberFormat="1" applyFont="1" applyFill="1" applyAlignment="1">
      <alignment horizontal="center"/>
    </xf>
    <xf numFmtId="166" fontId="0" fillId="17" borderId="1" xfId="0" applyNumberFormat="1" applyFill="1" applyBorder="1" applyAlignment="1">
      <alignment horizontal="center"/>
    </xf>
    <xf numFmtId="166" fontId="0" fillId="12" borderId="1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3" fillId="14" borderId="0" xfId="0" applyFont="1" applyFill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0" fontId="3" fillId="25" borderId="0" xfId="0" applyFont="1" applyFill="1"/>
    <xf numFmtId="0" fontId="3" fillId="25" borderId="1" xfId="0" applyFont="1" applyFill="1" applyBorder="1" applyAlignment="1">
      <alignment horizontal="center"/>
    </xf>
    <xf numFmtId="0" fontId="3" fillId="26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6" fillId="20" borderId="1" xfId="0" applyFont="1" applyFill="1" applyBorder="1"/>
    <xf numFmtId="1" fontId="3" fillId="5" borderId="1" xfId="0" applyNumberFormat="1" applyFont="1" applyFill="1" applyBorder="1" applyAlignment="1">
      <alignment horizontal="center"/>
    </xf>
    <xf numFmtId="1" fontId="3" fillId="6" borderId="1" xfId="0" applyNumberFormat="1" applyFont="1" applyFill="1" applyBorder="1" applyAlignment="1">
      <alignment horizontal="center"/>
    </xf>
    <xf numFmtId="1" fontId="3" fillId="7" borderId="1" xfId="0" applyNumberFormat="1" applyFont="1" applyFill="1" applyBorder="1" applyAlignment="1">
      <alignment horizontal="center"/>
    </xf>
    <xf numFmtId="1" fontId="3" fillId="10" borderId="1" xfId="0" applyNumberFormat="1" applyFont="1" applyFill="1" applyBorder="1" applyAlignment="1">
      <alignment horizontal="center"/>
    </xf>
    <xf numFmtId="0" fontId="3" fillId="28" borderId="1" xfId="0" applyFont="1" applyFill="1" applyBorder="1" applyAlignment="1">
      <alignment horizontal="center"/>
    </xf>
    <xf numFmtId="1" fontId="3" fillId="8" borderId="1" xfId="0" applyNumberFormat="1" applyFont="1" applyFill="1" applyBorder="1" applyAlignment="1">
      <alignment horizontal="center"/>
    </xf>
    <xf numFmtId="165" fontId="3" fillId="19" borderId="0" xfId="0" applyNumberFormat="1" applyFont="1" applyFill="1" applyAlignment="1">
      <alignment horizontal="center"/>
    </xf>
    <xf numFmtId="165" fontId="3" fillId="28" borderId="0" xfId="0" applyNumberFormat="1" applyFont="1" applyFill="1" applyAlignment="1">
      <alignment horizontal="center"/>
    </xf>
    <xf numFmtId="9" fontId="3" fillId="11" borderId="0" xfId="1" applyFont="1" applyFill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/>
    </xf>
    <xf numFmtId="0" fontId="3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15" borderId="0" xfId="0" applyFont="1" applyFill="1" applyAlignment="1">
      <alignment horizontal="left"/>
    </xf>
    <xf numFmtId="0" fontId="3" fillId="15" borderId="1" xfId="0" applyFont="1" applyFill="1" applyBorder="1" applyAlignment="1">
      <alignment horizontal="left"/>
    </xf>
    <xf numFmtId="0" fontId="3" fillId="15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1" fontId="3" fillId="15" borderId="1" xfId="0" applyNumberFormat="1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19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5" fontId="3" fillId="29" borderId="0" xfId="0" applyNumberFormat="1" applyFont="1" applyFill="1" applyAlignment="1">
      <alignment horizont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1" fillId="0" borderId="6" xfId="0" applyFont="1" applyBorder="1" applyAlignment="1">
      <alignment horizontal="centerContinuous" vertical="center"/>
    </xf>
    <xf numFmtId="0" fontId="10" fillId="0" borderId="7" xfId="0" applyFont="1" applyBorder="1" applyAlignment="1">
      <alignment horizontal="centerContinuous" vertical="center"/>
    </xf>
    <xf numFmtId="0" fontId="10" fillId="0" borderId="8" xfId="0" applyFont="1" applyBorder="1" applyAlignment="1">
      <alignment horizontal="centerContinuous" vertical="center"/>
    </xf>
    <xf numFmtId="0" fontId="10" fillId="0" borderId="10" xfId="0" applyFont="1" applyBorder="1" applyAlignment="1">
      <alignment vertical="center"/>
    </xf>
    <xf numFmtId="0" fontId="12" fillId="0" borderId="9" xfId="0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11" xfId="0" applyFont="1" applyBorder="1" applyAlignment="1">
      <alignment horizontal="right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16" xfId="0" applyFont="1" applyBorder="1" applyAlignment="1">
      <alignment horizontal="centerContinuous" vertical="center"/>
    </xf>
    <xf numFmtId="0" fontId="12" fillId="0" borderId="17" xfId="0" applyFont="1" applyBorder="1" applyAlignment="1">
      <alignment horizontal="centerContinuous" vertical="center"/>
    </xf>
    <xf numFmtId="0" fontId="12" fillId="0" borderId="18" xfId="0" applyFont="1" applyBorder="1" applyAlignment="1">
      <alignment horizontal="centerContinuous" vertical="center"/>
    </xf>
    <xf numFmtId="0" fontId="12" fillId="0" borderId="3" xfId="0" applyFont="1" applyBorder="1" applyAlignment="1">
      <alignment horizontal="centerContinuous" vertical="center"/>
    </xf>
    <xf numFmtId="0" fontId="10" fillId="0" borderId="27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 wrapText="1"/>
    </xf>
    <xf numFmtId="0" fontId="10" fillId="0" borderId="7" xfId="0" applyFont="1" applyBorder="1" applyAlignment="1">
      <alignment horizontal="centerContinuous" vertical="center" wrapText="1"/>
    </xf>
    <xf numFmtId="0" fontId="12" fillId="0" borderId="10" xfId="0" applyFont="1" applyBorder="1" applyAlignment="1">
      <alignment vertical="center"/>
    </xf>
    <xf numFmtId="0" fontId="12" fillId="0" borderId="24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/>
    </xf>
    <xf numFmtId="9" fontId="3" fillId="18" borderId="0" xfId="1" applyFont="1" applyFill="1" applyAlignment="1">
      <alignment horizontal="center"/>
    </xf>
    <xf numFmtId="9" fontId="3" fillId="2" borderId="0" xfId="1" applyFont="1" applyFill="1" applyAlignment="1">
      <alignment horizontal="center"/>
    </xf>
    <xf numFmtId="9" fontId="3" fillId="9" borderId="0" xfId="1" applyFont="1" applyFill="1" applyAlignment="1">
      <alignment horizontal="center"/>
    </xf>
    <xf numFmtId="9" fontId="3" fillId="30" borderId="0" xfId="1" applyFont="1" applyFill="1" applyAlignment="1">
      <alignment horizontal="center"/>
    </xf>
    <xf numFmtId="9" fontId="3" fillId="31" borderId="0" xfId="0" applyNumberFormat="1" applyFont="1" applyFill="1" applyAlignment="1">
      <alignment horizontal="center"/>
    </xf>
    <xf numFmtId="2" fontId="3" fillId="18" borderId="0" xfId="1" applyNumberFormat="1" applyFont="1" applyFill="1" applyAlignment="1">
      <alignment horizontal="center"/>
    </xf>
    <xf numFmtId="2" fontId="3" fillId="2" borderId="0" xfId="1" applyNumberFormat="1" applyFont="1" applyFill="1" applyAlignment="1">
      <alignment horizontal="center"/>
    </xf>
    <xf numFmtId="0" fontId="2" fillId="23" borderId="2" xfId="0" applyFont="1" applyFill="1" applyBorder="1" applyAlignment="1">
      <alignment horizontal="center" vertical="center" wrapText="1"/>
    </xf>
    <xf numFmtId="0" fontId="2" fillId="23" borderId="3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/>
    </xf>
    <xf numFmtId="0" fontId="2" fillId="22" borderId="3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left" vertical="center"/>
    </xf>
    <xf numFmtId="0" fontId="2" fillId="18" borderId="3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center" vertical="center" wrapText="1"/>
    </xf>
    <xf numFmtId="0" fontId="9" fillId="27" borderId="1" xfId="0" applyFont="1" applyFill="1" applyBorder="1" applyAlignment="1">
      <alignment horizontal="left"/>
    </xf>
    <xf numFmtId="0" fontId="2" fillId="22" borderId="2" xfId="0" applyFont="1" applyFill="1" applyBorder="1" applyAlignment="1">
      <alignment horizontal="center" vertical="center" wrapText="1"/>
    </xf>
    <xf numFmtId="0" fontId="2" fillId="2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13" fillId="0" borderId="30" xfId="0" applyFont="1" applyBorder="1" applyAlignment="1">
      <alignment vertical="center"/>
    </xf>
    <xf numFmtId="0" fontId="13" fillId="0" borderId="3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31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32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19" xfId="0" applyFont="1" applyBorder="1" applyAlignment="1">
      <alignment vertical="center"/>
    </xf>
    <xf numFmtId="0" fontId="12" fillId="0" borderId="22" xfId="0" applyFont="1" applyBorder="1" applyAlignment="1">
      <alignment vertical="center"/>
    </xf>
    <xf numFmtId="0" fontId="12" fillId="0" borderId="15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13" formatCode="0%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167" formatCode="0.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165" formatCode="0.000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167" formatCode="0.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167" formatCode="0.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165" formatCode="0.000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164" formatCode="0.00000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fill>
        <patternFill patternType="solid">
          <fgColor indexed="64"/>
          <bgColor rgb="FF9DF9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fill>
        <patternFill patternType="solid">
          <fgColor indexed="64"/>
          <bgColor theme="2" tint="-9.9978637043366805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9DF9F2"/>
      <color rgb="FFFFCC99"/>
      <color rgb="FFBAFD9F"/>
      <color rgb="FFE5B3F3"/>
      <color rgb="FFCCCC00"/>
      <color rgb="FF66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832356</xdr:colOff>
      <xdr:row>2</xdr:row>
      <xdr:rowOff>75142</xdr:rowOff>
    </xdr:from>
    <xdr:to>
      <xdr:col>20</xdr:col>
      <xdr:colOff>1981102</xdr:colOff>
      <xdr:row>5</xdr:row>
      <xdr:rowOff>179917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36A9AE-D37F-43E8-B506-9BAC3BB99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2689" y="456142"/>
          <a:ext cx="2149929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phantus Munene" id="{C71774B1-8CF1-4296-8FA5-40A9F8D3AEF0}" userId="S::ephantus@burnmfg.com::4426a998-c92e-4adc-ba48-4424d968fd6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BC006F-EC2B-461F-B070-CFCD0F62166B}" name="Table1" displayName="Table1" ref="B2:V85" totalsRowShown="0" headerRowDxfId="23">
  <autoFilter ref="B2:V85" xr:uid="{B4BC006F-EC2B-461F-B070-CFCD0F62166B}"/>
  <tableColumns count="21">
    <tableColumn id="2" xr3:uid="{F835D1B2-D5E7-4DE3-A564-CF5F5705F7FF}" name="Component/Part" dataDxfId="22"/>
    <tableColumn id="3" xr3:uid="{D768B605-D401-40D8-8A8B-245CD74A89A8}" name="_x0009_Material Description" dataDxfId="21"/>
    <tableColumn id="4" xr3:uid="{B3E7E849-1399-4F56-8692-34A5489CBEA1}" name="Material Number" dataDxfId="20"/>
    <tableColumn id="5" xr3:uid="{BBA96BC4-D0CD-41DA-A44D-72092E363CFB}" name="Utilization/ pc in NAV (Kg)" dataDxfId="19"/>
    <tableColumn id="6" xr3:uid="{00545077-1EF4-4D03-A8E9-9EDB671FB8B9}" name="Qnty/ Stove" dataDxfId="18"/>
    <tableColumn id="7" xr3:uid="{68FA6F14-8F25-4CC3-B173-C5896A7A2D30}" name="Shear Plan Available?" dataDxfId="17"/>
    <tableColumn id="8" xr3:uid="{6F28BEC4-8598-42C0-AB72-69D89A227892}" name="Nesting Plan Available?" dataDxfId="16"/>
    <tableColumn id="9" xr3:uid="{F52BDDCA-CD24-486B-98E0-D98DB83071E5}" name="Material match - BOM vs Shear/ Nest Plan" dataDxfId="15"/>
    <tableColumn id="10" xr3:uid="{048855B3-7751-4641-A704-7CDC35F301BC}" name="Sheet Weight_x000a_(Kg)" dataDxfId="14"/>
    <tableColumn id="11" xr3:uid="{3A7279BB-C113-4F1A-95D6-381719084BB1}" name="Parts/ Sheet" dataDxfId="13"/>
    <tableColumn id="12" xr3:uid="{2F09A10D-F090-4346-9816-78856E7F79C9}" name="Current BOM Utilization (Kg)" dataDxfId="12"/>
    <tableColumn id="13" xr3:uid="{BB397219-4784-4C82-BA76-D38ADE6AA067}" name="Calculated Utilization (Kg)" dataDxfId="11"/>
    <tableColumn id="14" xr3:uid="{22011F70-42B9-47DC-9FFC-83924871F4C6}" name="Variance (Kg)" dataDxfId="10">
      <calculatedColumnFormula>IFERROR(M3-L3, "")</calculatedColumnFormula>
    </tableColumn>
    <tableColumn id="15" xr3:uid="{C52576F1-13F9-427C-BC6D-9C5EBBFFFB65}" name="Sheet Wt Used in BOM Calc (Kg)" dataDxfId="9"/>
    <tableColumn id="19" xr3:uid="{125CD461-8E24-4EC7-89C0-CAF21FB3431D}" name="Actual Part Wt (Kg)" dataDxfId="8"/>
    <tableColumn id="21" xr3:uid="{BC090B82-1379-4E6D-8D54-B36A04816919}" name="Expected Scrap per Part (Kg)" dataDxfId="7">
      <calculatedColumnFormula>Table1[[#This Row],[Current BOM Utilization (Kg)]]-P3</calculatedColumnFormula>
    </tableColumn>
    <tableColumn id="22" xr3:uid="{E958F254-7BD4-466D-8DDA-21DE55BB0F3C}" name="Expected Scrap per Stove (Kg)2" dataDxfId="6"/>
    <tableColumn id="18" xr3:uid="{4F0ED3EB-3DF6-4688-8CAC-F3F0C4DB82D4}" name="% Factored Scrap" dataDxfId="5" dataCellStyle="Percent">
      <calculatedColumnFormula>IFERROR((Table1[[#This Row],[Calculated Utilization (Kg)]]-Table1[[#This Row],[Actual Part Wt (Kg)]])/Table1[[#This Row],[Calculated Utilization (Kg)]], "")</calculatedColumnFormula>
    </tableColumn>
    <tableColumn id="20" xr3:uid="{85DD4F25-F7A2-42CE-BFCD-08F7E336EB15}" name="Av % scrap/ Product" dataDxfId="4" dataCellStyle="Percent"/>
    <tableColumn id="16" xr3:uid="{D2E34F37-7EB6-4244-A7E9-E559D7599B29}" name="Remarks" dataDxfId="3"/>
    <tableColumn id="17" xr3:uid="{7485DB6A-3A26-44ED-A569-A6767E27C933}" name="Column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9" dT="2023-11-30T08:20:23.32" personId="{C71774B1-8CF1-4296-8FA5-40A9F8D3AEF0}" id="{8054211B-4D11-47D4-98F4-854AE9F122AE}">
    <text>We also get 27 Heat Shields &amp; 156 Pot Support from the same nest</text>
  </threadedComment>
  <threadedComment ref="K10" dT="2023-11-30T08:33:47.33" personId="{C71774B1-8CF1-4296-8FA5-40A9F8D3AEF0}" id="{B798DA15-C147-4B12-BDE0-8AAF9631C61D}">
    <text>Laser yield, in production we get 156 Pot Supports from the Conedeck Nest</text>
  </threadedComment>
  <threadedComment ref="K12" dT="2023-11-30T08:33:35.86" personId="{C71774B1-8CF1-4296-8FA5-40A9F8D3AEF0}" id="{B8E2F96A-666B-4138-8EC7-B489D161F37C}">
    <text>This is the qnty we get from a full sheet nest. We currently get 27 HS from the same nest as Conedeck nest (with 27 Conedecks) during normal production</text>
  </threadedComment>
  <threadedComment ref="K15" dT="2024-01-02T12:26:16.63" personId="{C71774B1-8CF1-4296-8FA5-40A9F8D3AEF0}" id="{57218AAE-095D-4A29-BBFB-2EA072DC612B}">
    <text>&amp; 12 False Bottoms &amp; 26 Feet</text>
  </threadedComment>
  <threadedComment ref="K20" dT="2024-01-02T08:04:32.96" personId="{C71774B1-8CF1-4296-8FA5-40A9F8D3AEF0}" id="{71CF6C18-7349-4DF5-844A-D73DDD7EFCC1}">
    <text>From Laser</text>
  </threadedComment>
  <threadedComment ref="M20" dT="2024-01-02T08:05:29.46" personId="{C71774B1-8CF1-4296-8FA5-40A9F8D3AEF0}" id="{8A99ED7F-1CA5-42CE-973E-5690382B1518}">
    <text>Laser yield</text>
  </threadedComment>
  <threadedComment ref="K22" dT="2023-12-19T15:16:22.33" personId="{C71774B1-8CF1-4296-8FA5-40A9F8D3AEF0}" id="{1342A780-764C-42B6-BC54-95D3DE2B2E44}">
    <text>Yield for a full sheet, we get this from Bottom nest in normal production</text>
  </threadedComment>
  <threadedComment ref="K27" dT="2023-12-19T14:33:52.26" personId="{C71774B1-8CF1-4296-8FA5-40A9F8D3AEF0}" id="{E840CBE1-585C-4184-9629-E3FD25C3FBB4}">
    <text>Also gives an equivalent number of Heat Shield, HS Tabs 1 &amp; 2</text>
  </threadedComment>
  <threadedComment ref="K29" dT="2023-11-30T08:33:35.86" personId="{C71774B1-8CF1-4296-8FA5-40A9F8D3AEF0}" id="{12955502-321C-468E-8CE2-673130429F09}">
    <text>This is the qnty we get from a full sheet nest. We currently get 27 HS from the same nest as Conedeck nest (with 27 Conedecks) during normal production</text>
  </threadedComment>
  <threadedComment ref="K30" dT="2023-12-19T15:00:30.86" personId="{C71774B1-8CF1-4296-8FA5-40A9F8D3AEF0}" id="{DC2BE1E5-577C-4AF3-9DB2-0E04CCC63C77}">
    <text>From Conedeck nest</text>
  </threadedComment>
  <threadedComment ref="K31" dT="2023-12-19T15:00:42.38" personId="{C71774B1-8CF1-4296-8FA5-40A9F8D3AEF0}" id="{30F53A01-3B28-4EBE-9276-904D7006724D}">
    <text>From Conedeck nest</text>
  </threadedComment>
  <threadedComment ref="K33" dT="2023-12-19T15:14:34.41" personId="{C71774B1-8CF1-4296-8FA5-40A9F8D3AEF0}" id="{F7E30B11-1566-4D72-8156-F833057388AF}">
    <text>With an equivalent number of Bridge Hat &amp; Insulation Retainer</text>
  </threadedComment>
  <threadedComment ref="K37" dT="2024-01-02T08:04:32.96" personId="{C71774B1-8CF1-4296-8FA5-40A9F8D3AEF0}" id="{DDA4DBD5-F87B-44B8-9234-5B05CBEB63D2}">
    <text>From Laser</text>
  </threadedComment>
  <threadedComment ref="M37" dT="2024-01-02T08:05:29.46" personId="{C71774B1-8CF1-4296-8FA5-40A9F8D3AEF0}" id="{C23E2AB7-3E53-45DB-AB5D-66830001842D}">
    <text>Laser yield</text>
  </threadedComment>
  <threadedComment ref="K38" dT="2023-12-19T15:48:33.60" personId="{C71774B1-8CF1-4296-8FA5-40A9F8D3AEF0}" id="{D3508C65-5E15-4AE4-8295-D99484CF7788}">
    <text>Also makes 10 False Bottoms</text>
  </threadedComment>
  <threadedComment ref="K42" dT="2024-01-02T08:04:32.96" personId="{C71774B1-8CF1-4296-8FA5-40A9F8D3AEF0}" id="{FEEDC358-BE1D-4547-BD1B-9FD4147851D9}">
    <text>From Laser</text>
  </threadedComment>
  <threadedComment ref="M42" dT="2024-01-02T08:05:29.46" personId="{C71774B1-8CF1-4296-8FA5-40A9F8D3AEF0}" id="{C6354F4C-6698-4751-A1CC-6735E26B64AF}">
    <text>Laser yield</text>
  </threadedComment>
  <threadedComment ref="K48" dT="2023-12-19T16:07:58.33" personId="{C71774B1-8CF1-4296-8FA5-40A9F8D3AEF0}" id="{BE3D6239-D5C7-43D3-9082-FA53FC37F4F7}">
    <text>Also makes equivalent # of Potskirt washers (zero costed)</text>
  </threadedComment>
  <threadedComment ref="K51" dT="2023-12-19T16:15:36.92" personId="{C71774B1-8CF1-4296-8FA5-40A9F8D3AEF0}" id="{385032CB-46BC-4BCD-84C5-E043944C3289}">
    <text>With equivalent # of Pot Supports, Ash Tray Handle &amp; Ash Tray Door</text>
  </threadedComment>
  <threadedComment ref="K55" dT="2024-01-02T09:02:34.21" personId="{C71774B1-8CF1-4296-8FA5-40A9F8D3AEF0}" id="{10ADFE6C-09C6-4075-AF14-FD6C3B61CE9B}">
    <text>Laser Yield</text>
  </threadedComment>
  <threadedComment ref="L55" dT="2024-01-02T09:03:50.33" personId="{C71774B1-8CF1-4296-8FA5-40A9F8D3AEF0}" id="{0EC855E4-F43F-409D-95F7-1B6A8E633E12}">
    <text>Yield from Shear</text>
  </threadedComment>
  <threadedComment ref="M55" dT="2024-01-02T09:02:56.20" personId="{C71774B1-8CF1-4296-8FA5-40A9F8D3AEF0}" id="{EA2F9EFE-2691-417A-9CD8-B95B0E9B8E42}">
    <text>Laser Yield</text>
  </threadedComment>
  <threadedComment ref="K56" dT="2024-01-02T09:02:42.30" personId="{C71774B1-8CF1-4296-8FA5-40A9F8D3AEF0}" id="{7AA48C0D-0F38-43D2-A3BC-B6F01D3119D7}">
    <text>Laser Yield</text>
  </threadedComment>
  <threadedComment ref="L56" dT="2024-01-02T09:03:58.87" personId="{C71774B1-8CF1-4296-8FA5-40A9F8D3AEF0}" id="{38BD52B9-820B-44C7-A74E-B89C39B0084F}">
    <text>Yield from Shear</text>
  </threadedComment>
  <threadedComment ref="M56" dT="2024-01-02T09:03:04.36" personId="{C71774B1-8CF1-4296-8FA5-40A9F8D3AEF0}" id="{6EBBE257-531F-4216-867C-468F5EF7CB48}">
    <text>Laser Yield</text>
  </threadedComment>
</ThreadedComment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2F47-2F6D-41C7-A535-AFFCDF91E780}">
  <dimension ref="B1:AK25"/>
  <sheetViews>
    <sheetView showGridLines="0" zoomScale="90" zoomScaleNormal="90" workbookViewId="0">
      <pane xSplit="3" ySplit="7" topLeftCell="J8" activePane="bottomRight" state="frozen"/>
      <selection pane="topRight" activeCell="D1" sqref="D1"/>
      <selection pane="bottomLeft" activeCell="A8" sqref="A8"/>
      <selection pane="bottomRight" activeCell="Q3" sqref="Q3"/>
    </sheetView>
  </sheetViews>
  <sheetFormatPr defaultColWidth="8.88671875" defaultRowHeight="15.6" customHeight="1" x14ac:dyDescent="0.2"/>
  <cols>
    <col min="1" max="1" width="1.6640625" style="3" customWidth="1"/>
    <col min="2" max="2" width="8.88671875" style="3"/>
    <col min="3" max="3" width="63.6640625" style="3" customWidth="1"/>
    <col min="4" max="4" width="8.6640625" style="4" hidden="1" customWidth="1"/>
    <col min="5" max="9" width="7.33203125" style="3" hidden="1" customWidth="1"/>
    <col min="10" max="10" width="10.109375" style="3" customWidth="1"/>
    <col min="11" max="11" width="8.88671875" style="3"/>
    <col min="12" max="12" width="8.88671875" style="3" hidden="1" customWidth="1"/>
    <col min="13" max="13" width="8.88671875" style="3"/>
    <col min="14" max="14" width="8.88671875" style="3" hidden="1" customWidth="1"/>
    <col min="15" max="15" width="11.6640625" style="3" customWidth="1"/>
    <col min="16" max="16" width="13" style="3" customWidth="1"/>
    <col min="17" max="18" width="12" style="3" customWidth="1"/>
    <col min="19" max="19" width="8.6640625" style="3" customWidth="1"/>
    <col min="20" max="22" width="7.88671875" style="3" customWidth="1"/>
    <col min="23" max="23" width="7.88671875" style="3" hidden="1" customWidth="1"/>
    <col min="24" max="24" width="7.88671875" style="3" customWidth="1"/>
    <col min="25" max="25" width="7.88671875" style="3" hidden="1" customWidth="1"/>
    <col min="26" max="26" width="11.5546875" style="3" customWidth="1"/>
    <col min="27" max="28" width="8.88671875" style="3"/>
    <col min="29" max="29" width="0" style="3" hidden="1" customWidth="1"/>
    <col min="30" max="30" width="8.88671875" style="3"/>
    <col min="31" max="31" width="0" style="3" hidden="1" customWidth="1"/>
    <col min="32" max="32" width="11" style="3" bestFit="1" customWidth="1"/>
    <col min="33" max="34" width="8.88671875" style="3"/>
    <col min="35" max="35" width="19.6640625" style="3" customWidth="1"/>
    <col min="36" max="36" width="52.109375" style="3" customWidth="1"/>
    <col min="37" max="37" width="18.6640625" style="3" customWidth="1"/>
    <col min="38" max="16384" width="8.88671875" style="3"/>
  </cols>
  <sheetData>
    <row r="1" spans="2:37" ht="7.95" customHeight="1" x14ac:dyDescent="0.2"/>
    <row r="2" spans="2:37" ht="21.6" customHeight="1" x14ac:dyDescent="0.2">
      <c r="J2" s="213" t="s">
        <v>0</v>
      </c>
      <c r="K2" s="213"/>
      <c r="L2" s="213"/>
      <c r="M2" s="213"/>
      <c r="N2" s="213"/>
      <c r="AA2" s="212" t="s">
        <v>1</v>
      </c>
      <c r="AB2" s="212"/>
      <c r="AC2" s="212"/>
      <c r="AD2" s="212"/>
      <c r="AE2" s="212"/>
      <c r="AF2" s="2"/>
    </row>
    <row r="3" spans="2:37" ht="28.95" customHeight="1" x14ac:dyDescent="0.2">
      <c r="J3" s="103" t="s">
        <v>2</v>
      </c>
      <c r="K3" s="104" t="s">
        <v>3</v>
      </c>
      <c r="L3" s="105" t="s">
        <v>4</v>
      </c>
      <c r="M3" s="150" t="s">
        <v>5</v>
      </c>
      <c r="N3" s="106" t="s">
        <v>6</v>
      </c>
      <c r="AA3" s="103" t="s">
        <v>2</v>
      </c>
      <c r="AB3" s="104" t="s">
        <v>3</v>
      </c>
      <c r="AC3" s="105" t="s">
        <v>4</v>
      </c>
      <c r="AD3" s="150" t="s">
        <v>5</v>
      </c>
      <c r="AE3" s="106" t="s">
        <v>6</v>
      </c>
    </row>
    <row r="4" spans="2:37" ht="15.6" customHeight="1" x14ac:dyDescent="0.2">
      <c r="J4" s="98"/>
      <c r="K4" s="98"/>
      <c r="L4" s="98"/>
      <c r="M4" s="98"/>
      <c r="N4" s="98"/>
      <c r="AA4" s="107"/>
      <c r="AB4" s="107"/>
      <c r="AC4" s="107"/>
      <c r="AD4" s="107"/>
      <c r="AE4" s="107"/>
    </row>
    <row r="6" spans="2:37" ht="25.95" customHeight="1" x14ac:dyDescent="0.2">
      <c r="B6" s="218" t="s">
        <v>7</v>
      </c>
      <c r="C6" s="220" t="s">
        <v>8</v>
      </c>
      <c r="D6" s="218" t="s">
        <v>9</v>
      </c>
      <c r="E6" s="222" t="s">
        <v>10</v>
      </c>
      <c r="F6" s="222"/>
      <c r="G6" s="222"/>
      <c r="H6" s="222"/>
      <c r="I6" s="222"/>
      <c r="J6" s="214" t="s">
        <v>11</v>
      </c>
      <c r="K6" s="214"/>
      <c r="L6" s="214"/>
      <c r="M6" s="214"/>
      <c r="N6" s="214"/>
      <c r="O6" s="214"/>
      <c r="P6" s="204" t="s">
        <v>12</v>
      </c>
      <c r="Q6" s="215" t="s">
        <v>13</v>
      </c>
      <c r="R6" s="215" t="s">
        <v>14</v>
      </c>
      <c r="S6" s="207" t="s">
        <v>15</v>
      </c>
      <c r="T6" s="208"/>
      <c r="U6" s="217" t="s">
        <v>16</v>
      </c>
      <c r="V6" s="217"/>
      <c r="W6" s="217"/>
      <c r="X6" s="217"/>
      <c r="Y6" s="217"/>
      <c r="Z6" s="217"/>
      <c r="AA6" s="206" t="s">
        <v>17</v>
      </c>
      <c r="AB6" s="206"/>
      <c r="AC6" s="206"/>
      <c r="AD6" s="206"/>
      <c r="AE6" s="206"/>
      <c r="AF6" s="206"/>
      <c r="AG6" s="207" t="s">
        <v>18</v>
      </c>
      <c r="AH6" s="208"/>
      <c r="AI6" s="209" t="s">
        <v>19</v>
      </c>
      <c r="AJ6" s="210" t="s">
        <v>20</v>
      </c>
      <c r="AK6" s="204" t="s">
        <v>21</v>
      </c>
    </row>
    <row r="7" spans="2:37" ht="19.2" customHeight="1" x14ac:dyDescent="0.2">
      <c r="B7" s="219"/>
      <c r="C7" s="221"/>
      <c r="D7" s="219"/>
      <c r="E7" s="108" t="s">
        <v>2</v>
      </c>
      <c r="F7" s="109" t="s">
        <v>22</v>
      </c>
      <c r="G7" s="110" t="s">
        <v>23</v>
      </c>
      <c r="H7" s="148" t="s">
        <v>5</v>
      </c>
      <c r="I7" s="111" t="s">
        <v>24</v>
      </c>
      <c r="J7" s="108" t="s">
        <v>2</v>
      </c>
      <c r="K7" s="109" t="s">
        <v>22</v>
      </c>
      <c r="L7" s="110" t="s">
        <v>23</v>
      </c>
      <c r="M7" s="148" t="s">
        <v>5</v>
      </c>
      <c r="N7" s="111" t="s">
        <v>24</v>
      </c>
      <c r="O7" s="112" t="s">
        <v>25</v>
      </c>
      <c r="P7" s="205"/>
      <c r="Q7" s="216"/>
      <c r="R7" s="216"/>
      <c r="S7" s="113" t="s">
        <v>26</v>
      </c>
      <c r="T7" s="113" t="s">
        <v>27</v>
      </c>
      <c r="U7" s="108" t="s">
        <v>2</v>
      </c>
      <c r="V7" s="109" t="s">
        <v>22</v>
      </c>
      <c r="W7" s="110" t="s">
        <v>23</v>
      </c>
      <c r="X7" s="148" t="s">
        <v>5</v>
      </c>
      <c r="Y7" s="111" t="s">
        <v>24</v>
      </c>
      <c r="Z7" s="112" t="s">
        <v>25</v>
      </c>
      <c r="AA7" s="108" t="s">
        <v>2</v>
      </c>
      <c r="AB7" s="109" t="s">
        <v>22</v>
      </c>
      <c r="AC7" s="110" t="s">
        <v>23</v>
      </c>
      <c r="AD7" s="148" t="s">
        <v>5</v>
      </c>
      <c r="AE7" s="111" t="s">
        <v>24</v>
      </c>
      <c r="AF7" s="112" t="s">
        <v>25</v>
      </c>
      <c r="AG7" s="113" t="s">
        <v>27</v>
      </c>
      <c r="AH7" s="113" t="s">
        <v>26</v>
      </c>
      <c r="AI7" s="209"/>
      <c r="AJ7" s="211"/>
      <c r="AK7" s="205"/>
    </row>
    <row r="8" spans="2:37" ht="15.6" customHeight="1" x14ac:dyDescent="0.2">
      <c r="B8" s="98">
        <v>11279</v>
      </c>
      <c r="C8" s="99" t="s">
        <v>28</v>
      </c>
      <c r="D8" s="98">
        <f>'Master Data'!J3</f>
        <v>12.8</v>
      </c>
      <c r="E8" s="98">
        <f>'Cumulative Material Use'!$E$3</f>
        <v>0.96429999999999993</v>
      </c>
      <c r="F8" s="98">
        <f>'Cumulative Material Use'!$E$11</f>
        <v>0.2414</v>
      </c>
      <c r="G8" s="98">
        <f>'Cumulative Material Use'!$E$24</f>
        <v>0.50680000000000003</v>
      </c>
      <c r="H8" s="98">
        <f>'Cumulative Material Use'!$E$34</f>
        <v>0.96900000000000008</v>
      </c>
      <c r="I8" s="98"/>
      <c r="J8" s="124">
        <f>E8*$J$4</f>
        <v>0</v>
      </c>
      <c r="K8" s="125">
        <f>F8*$K$4</f>
        <v>0</v>
      </c>
      <c r="L8" s="126">
        <f>G8*$L$4</f>
        <v>0</v>
      </c>
      <c r="M8" s="149">
        <f>H8*$M$4</f>
        <v>0</v>
      </c>
      <c r="N8" s="84">
        <f>I8*$N$4</f>
        <v>0</v>
      </c>
      <c r="O8" s="127">
        <f>SUM(J8:N8)</f>
        <v>0</v>
      </c>
      <c r="P8" s="115"/>
      <c r="Q8" s="127">
        <f>O8-P8</f>
        <v>0</v>
      </c>
      <c r="R8" s="127">
        <f>Q8/D8</f>
        <v>0</v>
      </c>
      <c r="S8" s="98"/>
      <c r="T8" s="98"/>
      <c r="U8" s="70">
        <f>E8*$AA$4</f>
        <v>0</v>
      </c>
      <c r="V8" s="74">
        <f>F8*$AB$4</f>
        <v>0</v>
      </c>
      <c r="W8" s="126">
        <f>G8*$AC$4</f>
        <v>0</v>
      </c>
      <c r="X8" s="147">
        <f t="shared" ref="X8:X25" si="0">H8*$AD$4</f>
        <v>0</v>
      </c>
      <c r="Y8" s="128">
        <f t="shared" ref="Y8:Y22" si="1">I8*$AE$4</f>
        <v>0</v>
      </c>
      <c r="Z8" s="114">
        <f>SUM(U8:Y8)</f>
        <v>0</v>
      </c>
      <c r="AA8" s="70"/>
      <c r="AB8" s="74"/>
      <c r="AC8" s="79"/>
      <c r="AD8" s="79"/>
      <c r="AE8" s="84"/>
      <c r="AF8" s="114">
        <f>SUM(AA8:AE8)</f>
        <v>0</v>
      </c>
      <c r="AG8" s="116"/>
      <c r="AH8" s="117"/>
      <c r="AI8" s="107"/>
      <c r="AJ8" s="118"/>
      <c r="AK8" s="118"/>
    </row>
    <row r="9" spans="2:37" ht="15.6" customHeight="1" x14ac:dyDescent="0.2">
      <c r="B9" s="98" t="s">
        <v>29</v>
      </c>
      <c r="C9" s="99" t="s">
        <v>30</v>
      </c>
      <c r="D9" s="98">
        <f>'Master Data'!J6</f>
        <v>17</v>
      </c>
      <c r="E9" s="98">
        <f>'Cumulative Material Use'!$E$4</f>
        <v>0.2646</v>
      </c>
      <c r="F9" s="98"/>
      <c r="G9" s="98"/>
      <c r="H9" s="98">
        <f>'Cumulative Material Use'!$E$38</f>
        <v>6.3600000000000004E-2</v>
      </c>
      <c r="I9" s="98"/>
      <c r="J9" s="124">
        <f t="shared" ref="J9:J25" si="2">E9*$J$4</f>
        <v>0</v>
      </c>
      <c r="K9" s="125">
        <f t="shared" ref="K9:K25" si="3">F9*$K$4</f>
        <v>0</v>
      </c>
      <c r="L9" s="126">
        <f t="shared" ref="L9:L25" si="4">G9*$L$4</f>
        <v>0</v>
      </c>
      <c r="M9" s="149">
        <f t="shared" ref="M9:M25" si="5">H9*$M$4</f>
        <v>0</v>
      </c>
      <c r="N9" s="84">
        <f t="shared" ref="N9:N25" si="6">I9*$N$4</f>
        <v>0</v>
      </c>
      <c r="O9" s="127">
        <f t="shared" ref="O9:O25" si="7">SUM(J9:N9)</f>
        <v>0</v>
      </c>
      <c r="P9" s="115"/>
      <c r="Q9" s="127">
        <f t="shared" ref="Q9:Q25" si="8">O9-P9</f>
        <v>0</v>
      </c>
      <c r="R9" s="127">
        <f t="shared" ref="R9:R25" si="9">Q9/D9</f>
        <v>0</v>
      </c>
      <c r="S9" s="98"/>
      <c r="T9" s="98"/>
      <c r="U9" s="70">
        <f t="shared" ref="U9:U25" si="10">E9*$AA$4</f>
        <v>0</v>
      </c>
      <c r="V9" s="74">
        <f t="shared" ref="V9:V25" si="11">F9*$AB$4</f>
        <v>0</v>
      </c>
      <c r="W9" s="126">
        <f t="shared" ref="W9:W25" si="12">G9*$AC$4</f>
        <v>0</v>
      </c>
      <c r="X9" s="147">
        <f t="shared" si="0"/>
        <v>0</v>
      </c>
      <c r="Y9" s="128">
        <f t="shared" si="1"/>
        <v>0</v>
      </c>
      <c r="Z9" s="114">
        <f t="shared" ref="Z9:Z25" si="13">SUM(U9:Y9)</f>
        <v>0</v>
      </c>
      <c r="AA9" s="70"/>
      <c r="AB9" s="74"/>
      <c r="AC9" s="79"/>
      <c r="AD9" s="79"/>
      <c r="AE9" s="84"/>
      <c r="AF9" s="114">
        <f t="shared" ref="AF9:AF12" si="14">SUM(AA9:AE9)</f>
        <v>0</v>
      </c>
      <c r="AG9" s="117"/>
      <c r="AH9" s="117"/>
      <c r="AI9" s="107"/>
      <c r="AJ9" s="118"/>
      <c r="AK9" s="118"/>
    </row>
    <row r="10" spans="2:37" ht="15.6" customHeight="1" x14ac:dyDescent="0.2">
      <c r="B10" s="98">
        <v>10154</v>
      </c>
      <c r="C10" s="99" t="s">
        <v>31</v>
      </c>
      <c r="D10" s="98">
        <f>'Master Data'!J7</f>
        <v>13.5</v>
      </c>
      <c r="E10" s="98">
        <f>'Cumulative Material Use'!$E$5</f>
        <v>5.3999999999999999E-2</v>
      </c>
      <c r="F10" s="98">
        <f>'Cumulative Material Use'!$E$13</f>
        <v>0.1646</v>
      </c>
      <c r="G10" s="98">
        <f>'Cumulative Material Use'!$E$20</f>
        <v>0.68471000000000004</v>
      </c>
      <c r="H10" s="98">
        <f>'Cumulative Material Use'!$E$35</f>
        <v>0.18989999999999999</v>
      </c>
      <c r="I10" s="98">
        <f>'Cumulative Material Use'!$E$31</f>
        <v>5.7600000000000005E-2</v>
      </c>
      <c r="J10" s="124">
        <f t="shared" si="2"/>
        <v>0</v>
      </c>
      <c r="K10" s="125">
        <f t="shared" si="3"/>
        <v>0</v>
      </c>
      <c r="L10" s="126">
        <f t="shared" si="4"/>
        <v>0</v>
      </c>
      <c r="M10" s="149">
        <f t="shared" si="5"/>
        <v>0</v>
      </c>
      <c r="N10" s="84">
        <f t="shared" si="6"/>
        <v>0</v>
      </c>
      <c r="O10" s="127">
        <f t="shared" si="7"/>
        <v>0</v>
      </c>
      <c r="P10" s="115"/>
      <c r="Q10" s="127">
        <f t="shared" si="8"/>
        <v>0</v>
      </c>
      <c r="R10" s="127">
        <f t="shared" si="9"/>
        <v>0</v>
      </c>
      <c r="S10" s="98"/>
      <c r="T10" s="98"/>
      <c r="U10" s="70">
        <f t="shared" si="10"/>
        <v>0</v>
      </c>
      <c r="V10" s="74">
        <f t="shared" si="11"/>
        <v>0</v>
      </c>
      <c r="W10" s="126">
        <f t="shared" si="12"/>
        <v>0</v>
      </c>
      <c r="X10" s="147">
        <f t="shared" si="0"/>
        <v>0</v>
      </c>
      <c r="Y10" s="128">
        <f t="shared" si="1"/>
        <v>0</v>
      </c>
      <c r="Z10" s="114">
        <f t="shared" si="13"/>
        <v>0</v>
      </c>
      <c r="AA10" s="70"/>
      <c r="AB10" s="74"/>
      <c r="AC10" s="79"/>
      <c r="AD10" s="79"/>
      <c r="AE10" s="84"/>
      <c r="AF10" s="114">
        <f t="shared" si="14"/>
        <v>0</v>
      </c>
      <c r="AG10" s="117"/>
      <c r="AH10" s="117"/>
      <c r="AI10" s="107"/>
      <c r="AJ10" s="118"/>
      <c r="AK10" s="118"/>
    </row>
    <row r="11" spans="2:37" ht="15.6" customHeight="1" x14ac:dyDescent="0.2">
      <c r="B11" s="98">
        <v>10155</v>
      </c>
      <c r="C11" s="99" t="s">
        <v>32</v>
      </c>
      <c r="D11" s="98">
        <f>'Master Data'!J9</f>
        <v>18.100000000000001</v>
      </c>
      <c r="E11" s="98">
        <f>'Cumulative Material Use'!$E$6</f>
        <v>0.66821000000000008</v>
      </c>
      <c r="F11" s="98">
        <f>'Cumulative Material Use'!$E$15</f>
        <v>0.50700999999999996</v>
      </c>
      <c r="G11" s="98">
        <f>'Cumulative Material Use'!$E$26</f>
        <v>7.8899999999999998E-2</v>
      </c>
      <c r="H11" s="98">
        <f>'Cumulative Material Use'!$E$36</f>
        <v>0.4622</v>
      </c>
      <c r="I11" s="98"/>
      <c r="J11" s="124">
        <f t="shared" si="2"/>
        <v>0</v>
      </c>
      <c r="K11" s="125">
        <f t="shared" si="3"/>
        <v>0</v>
      </c>
      <c r="L11" s="126">
        <f t="shared" si="4"/>
        <v>0</v>
      </c>
      <c r="M11" s="149">
        <f t="shared" si="5"/>
        <v>0</v>
      </c>
      <c r="N11" s="84">
        <f t="shared" si="6"/>
        <v>0</v>
      </c>
      <c r="O11" s="127">
        <f t="shared" si="7"/>
        <v>0</v>
      </c>
      <c r="P11" s="115"/>
      <c r="Q11" s="127">
        <f t="shared" si="8"/>
        <v>0</v>
      </c>
      <c r="R11" s="127">
        <f t="shared" si="9"/>
        <v>0</v>
      </c>
      <c r="S11" s="98"/>
      <c r="T11" s="98"/>
      <c r="U11" s="70">
        <f t="shared" si="10"/>
        <v>0</v>
      </c>
      <c r="V11" s="74">
        <f t="shared" si="11"/>
        <v>0</v>
      </c>
      <c r="W11" s="126">
        <f t="shared" si="12"/>
        <v>0</v>
      </c>
      <c r="X11" s="147">
        <f t="shared" si="0"/>
        <v>0</v>
      </c>
      <c r="Y11" s="128">
        <f t="shared" si="1"/>
        <v>0</v>
      </c>
      <c r="Z11" s="114">
        <f t="shared" si="13"/>
        <v>0</v>
      </c>
      <c r="AA11" s="70"/>
      <c r="AB11" s="74"/>
      <c r="AC11" s="79"/>
      <c r="AD11" s="79"/>
      <c r="AE11" s="84"/>
      <c r="AF11" s="114">
        <f t="shared" si="14"/>
        <v>0</v>
      </c>
      <c r="AG11" s="117"/>
      <c r="AH11" s="117"/>
      <c r="AI11" s="107"/>
      <c r="AJ11" s="118"/>
      <c r="AK11" s="118"/>
    </row>
    <row r="12" spans="2:37" ht="15.6" customHeight="1" x14ac:dyDescent="0.2">
      <c r="B12" s="98">
        <v>11332</v>
      </c>
      <c r="C12" s="99" t="s">
        <v>33</v>
      </c>
      <c r="D12" s="98">
        <f>'Master Data'!J11</f>
        <v>31.7</v>
      </c>
      <c r="E12" s="98">
        <f>'Cumulative Material Use'!$E$7</f>
        <v>0.51670000000000005</v>
      </c>
      <c r="F12" s="98">
        <f>'Cumulative Material Use'!$E$16</f>
        <v>0.52669999999999995</v>
      </c>
      <c r="G12" s="98"/>
      <c r="H12" s="98">
        <f>'Cumulative Material Use'!$E$42</f>
        <v>0.58520000000000005</v>
      </c>
      <c r="I12" s="98"/>
      <c r="J12" s="124">
        <f t="shared" si="2"/>
        <v>0</v>
      </c>
      <c r="K12" s="125">
        <f t="shared" si="3"/>
        <v>0</v>
      </c>
      <c r="L12" s="126">
        <f t="shared" si="4"/>
        <v>0</v>
      </c>
      <c r="M12" s="149">
        <f t="shared" si="5"/>
        <v>0</v>
      </c>
      <c r="N12" s="84">
        <f t="shared" si="6"/>
        <v>0</v>
      </c>
      <c r="O12" s="127">
        <f t="shared" si="7"/>
        <v>0</v>
      </c>
      <c r="P12" s="115"/>
      <c r="Q12" s="127">
        <f t="shared" si="8"/>
        <v>0</v>
      </c>
      <c r="R12" s="127">
        <f t="shared" si="9"/>
        <v>0</v>
      </c>
      <c r="S12" s="98"/>
      <c r="T12" s="98"/>
      <c r="U12" s="70">
        <f t="shared" si="10"/>
        <v>0</v>
      </c>
      <c r="V12" s="74">
        <f t="shared" si="11"/>
        <v>0</v>
      </c>
      <c r="W12" s="126">
        <f t="shared" si="12"/>
        <v>0</v>
      </c>
      <c r="X12" s="147">
        <f t="shared" si="0"/>
        <v>0</v>
      </c>
      <c r="Y12" s="128">
        <f t="shared" si="1"/>
        <v>0</v>
      </c>
      <c r="Z12" s="114">
        <f t="shared" si="13"/>
        <v>0</v>
      </c>
      <c r="AA12" s="70"/>
      <c r="AB12" s="74"/>
      <c r="AC12" s="79"/>
      <c r="AD12" s="79"/>
      <c r="AE12" s="84"/>
      <c r="AF12" s="114">
        <f t="shared" si="14"/>
        <v>0</v>
      </c>
      <c r="AG12" s="117"/>
      <c r="AH12" s="117"/>
      <c r="AI12" s="107"/>
      <c r="AJ12" s="118"/>
      <c r="AK12" s="118"/>
    </row>
    <row r="13" spans="2:37" ht="15.6" customHeight="1" x14ac:dyDescent="0.2">
      <c r="B13" s="98" t="s">
        <v>34</v>
      </c>
      <c r="C13" s="99" t="s">
        <v>35</v>
      </c>
      <c r="D13" s="98">
        <f>'Master Data'!J18</f>
        <v>15.6</v>
      </c>
      <c r="E13" s="98">
        <f>'Cumulative Material Use'!$E$8</f>
        <v>1.08</v>
      </c>
      <c r="F13" s="98"/>
      <c r="G13" s="98"/>
      <c r="H13" s="98">
        <f>'Cumulative Material Use'!$E$39</f>
        <v>0.82130000000000003</v>
      </c>
      <c r="I13" s="98"/>
      <c r="J13" s="124">
        <f t="shared" si="2"/>
        <v>0</v>
      </c>
      <c r="K13" s="125">
        <f t="shared" si="3"/>
        <v>0</v>
      </c>
      <c r="L13" s="126">
        <f t="shared" si="4"/>
        <v>0</v>
      </c>
      <c r="M13" s="149">
        <f t="shared" si="5"/>
        <v>0</v>
      </c>
      <c r="N13" s="84">
        <f t="shared" si="6"/>
        <v>0</v>
      </c>
      <c r="O13" s="127">
        <f t="shared" si="7"/>
        <v>0</v>
      </c>
      <c r="P13" s="115"/>
      <c r="Q13" s="127">
        <f t="shared" si="8"/>
        <v>0</v>
      </c>
      <c r="R13" s="127">
        <f t="shared" si="9"/>
        <v>0</v>
      </c>
      <c r="S13" s="98"/>
      <c r="T13" s="98"/>
      <c r="U13" s="70">
        <f t="shared" si="10"/>
        <v>0</v>
      </c>
      <c r="V13" s="74">
        <f t="shared" si="11"/>
        <v>0</v>
      </c>
      <c r="W13" s="126">
        <f t="shared" si="12"/>
        <v>0</v>
      </c>
      <c r="X13" s="147">
        <f t="shared" si="0"/>
        <v>0</v>
      </c>
      <c r="Y13" s="128">
        <f t="shared" si="1"/>
        <v>0</v>
      </c>
      <c r="Z13" s="114">
        <f t="shared" si="13"/>
        <v>0</v>
      </c>
      <c r="AA13" s="70"/>
      <c r="AB13" s="74"/>
      <c r="AC13" s="79"/>
      <c r="AD13" s="79"/>
      <c r="AE13" s="84"/>
      <c r="AF13" s="114">
        <f t="shared" ref="AF13:AF25" si="15">SUM(AA13:AE13)</f>
        <v>0</v>
      </c>
      <c r="AG13" s="117"/>
      <c r="AH13" s="117"/>
      <c r="AI13" s="107"/>
      <c r="AJ13" s="118"/>
      <c r="AK13" s="118"/>
    </row>
    <row r="14" spans="2:37" ht="15.6" customHeight="1" x14ac:dyDescent="0.2">
      <c r="B14" s="100">
        <v>11090</v>
      </c>
      <c r="C14" s="101" t="s">
        <v>36</v>
      </c>
      <c r="D14" s="100">
        <f>'Master Data'!J19</f>
        <v>12.7</v>
      </c>
      <c r="E14" s="98">
        <f>'Cumulative Material Use'!$E$9</f>
        <v>3.56E-2</v>
      </c>
      <c r="F14" s="98">
        <f>'Cumulative Material Use'!$E$14</f>
        <v>7.2139999999999996E-2</v>
      </c>
      <c r="G14" s="98">
        <f>'Cumulative Material Use'!$E$23</f>
        <v>1.154E-2</v>
      </c>
      <c r="H14" s="98">
        <f>'Cumulative Material Use'!$E$40</f>
        <v>1.154E-2</v>
      </c>
      <c r="I14" s="98">
        <f>'Cumulative Material Use'!$E$30</f>
        <v>0.40644999999999998</v>
      </c>
      <c r="J14" s="124">
        <f t="shared" si="2"/>
        <v>0</v>
      </c>
      <c r="K14" s="125">
        <f t="shared" si="3"/>
        <v>0</v>
      </c>
      <c r="L14" s="126">
        <f t="shared" si="4"/>
        <v>0</v>
      </c>
      <c r="M14" s="149">
        <f t="shared" si="5"/>
        <v>0</v>
      </c>
      <c r="N14" s="84">
        <f t="shared" si="6"/>
        <v>0</v>
      </c>
      <c r="O14" s="127">
        <f t="shared" si="7"/>
        <v>0</v>
      </c>
      <c r="P14" s="115"/>
      <c r="Q14" s="127">
        <f t="shared" si="8"/>
        <v>0</v>
      </c>
      <c r="R14" s="127">
        <f t="shared" si="9"/>
        <v>0</v>
      </c>
      <c r="S14" s="98"/>
      <c r="T14" s="98"/>
      <c r="U14" s="70">
        <f t="shared" si="10"/>
        <v>0</v>
      </c>
      <c r="V14" s="74">
        <f t="shared" si="11"/>
        <v>0</v>
      </c>
      <c r="W14" s="126">
        <f t="shared" si="12"/>
        <v>0</v>
      </c>
      <c r="X14" s="147">
        <f t="shared" si="0"/>
        <v>0</v>
      </c>
      <c r="Y14" s="128">
        <f t="shared" si="1"/>
        <v>0</v>
      </c>
      <c r="Z14" s="114">
        <f t="shared" si="13"/>
        <v>0</v>
      </c>
      <c r="AA14" s="70"/>
      <c r="AB14" s="74"/>
      <c r="AC14" s="79"/>
      <c r="AD14" s="79"/>
      <c r="AE14" s="84"/>
      <c r="AF14" s="114">
        <f t="shared" si="15"/>
        <v>0</v>
      </c>
      <c r="AG14" s="117"/>
      <c r="AH14" s="117"/>
      <c r="AI14" s="107"/>
      <c r="AJ14" s="118"/>
      <c r="AK14" s="118"/>
    </row>
    <row r="15" spans="2:37" ht="15.6" customHeight="1" x14ac:dyDescent="0.2">
      <c r="B15" s="98">
        <v>10073</v>
      </c>
      <c r="C15" s="99" t="s">
        <v>37</v>
      </c>
      <c r="D15" s="98"/>
      <c r="E15" s="98">
        <f>'Cumulative Material Use'!$E$10</f>
        <v>0.11</v>
      </c>
      <c r="F15" s="98"/>
      <c r="G15" s="98"/>
      <c r="H15" s="98">
        <f>'Cumulative Material Use'!$E$41</f>
        <v>0.11</v>
      </c>
      <c r="I15" s="98"/>
      <c r="J15" s="124">
        <f t="shared" si="2"/>
        <v>0</v>
      </c>
      <c r="K15" s="125">
        <f t="shared" si="3"/>
        <v>0</v>
      </c>
      <c r="L15" s="126">
        <f t="shared" si="4"/>
        <v>0</v>
      </c>
      <c r="M15" s="149">
        <f t="shared" si="5"/>
        <v>0</v>
      </c>
      <c r="N15" s="84">
        <f t="shared" si="6"/>
        <v>0</v>
      </c>
      <c r="O15" s="127">
        <f t="shared" si="7"/>
        <v>0</v>
      </c>
      <c r="P15" s="115"/>
      <c r="Q15" s="127">
        <f t="shared" si="8"/>
        <v>0</v>
      </c>
      <c r="R15" s="127" t="e">
        <f t="shared" si="9"/>
        <v>#DIV/0!</v>
      </c>
      <c r="S15" s="98"/>
      <c r="T15" s="98"/>
      <c r="U15" s="70">
        <f t="shared" si="10"/>
        <v>0</v>
      </c>
      <c r="V15" s="74">
        <f t="shared" si="11"/>
        <v>0</v>
      </c>
      <c r="W15" s="126">
        <f t="shared" si="12"/>
        <v>0</v>
      </c>
      <c r="X15" s="147">
        <f t="shared" si="0"/>
        <v>0</v>
      </c>
      <c r="Y15" s="128">
        <f t="shared" si="1"/>
        <v>0</v>
      </c>
      <c r="Z15" s="114">
        <f t="shared" si="13"/>
        <v>0</v>
      </c>
      <c r="AA15" s="70"/>
      <c r="AB15" s="74"/>
      <c r="AC15" s="79"/>
      <c r="AD15" s="79"/>
      <c r="AE15" s="84"/>
      <c r="AF15" s="114">
        <f t="shared" si="15"/>
        <v>0</v>
      </c>
      <c r="AG15" s="117"/>
      <c r="AH15" s="117"/>
      <c r="AI15" s="107"/>
      <c r="AJ15" s="118"/>
      <c r="AK15" s="118"/>
    </row>
    <row r="16" spans="2:37" ht="15.6" customHeight="1" x14ac:dyDescent="0.2">
      <c r="B16" s="98">
        <v>10970</v>
      </c>
      <c r="C16" s="99" t="s">
        <v>38</v>
      </c>
      <c r="D16" s="98">
        <f>'Master Data'!J33</f>
        <v>13.6</v>
      </c>
      <c r="E16" s="98"/>
      <c r="F16" s="98">
        <f>'Cumulative Material Use'!$E$12</f>
        <v>0.4103</v>
      </c>
      <c r="G16" s="98"/>
      <c r="H16" s="98"/>
      <c r="I16" s="98"/>
      <c r="J16" s="124">
        <f t="shared" si="2"/>
        <v>0</v>
      </c>
      <c r="K16" s="125">
        <f t="shared" si="3"/>
        <v>0</v>
      </c>
      <c r="L16" s="126">
        <f t="shared" si="4"/>
        <v>0</v>
      </c>
      <c r="M16" s="149">
        <f t="shared" si="5"/>
        <v>0</v>
      </c>
      <c r="N16" s="84">
        <f t="shared" si="6"/>
        <v>0</v>
      </c>
      <c r="O16" s="127">
        <f t="shared" si="7"/>
        <v>0</v>
      </c>
      <c r="P16" s="115"/>
      <c r="Q16" s="127">
        <f t="shared" si="8"/>
        <v>0</v>
      </c>
      <c r="R16" s="127">
        <f t="shared" si="9"/>
        <v>0</v>
      </c>
      <c r="S16" s="98"/>
      <c r="T16" s="98"/>
      <c r="U16" s="70">
        <f t="shared" si="10"/>
        <v>0</v>
      </c>
      <c r="V16" s="74">
        <f t="shared" si="11"/>
        <v>0</v>
      </c>
      <c r="W16" s="126">
        <f t="shared" si="12"/>
        <v>0</v>
      </c>
      <c r="X16" s="147">
        <f t="shared" si="0"/>
        <v>0</v>
      </c>
      <c r="Y16" s="128">
        <f t="shared" si="1"/>
        <v>0</v>
      </c>
      <c r="Z16" s="114">
        <f t="shared" si="13"/>
        <v>0</v>
      </c>
      <c r="AA16" s="70"/>
      <c r="AB16" s="74"/>
      <c r="AC16" s="79"/>
      <c r="AD16" s="79"/>
      <c r="AE16" s="84"/>
      <c r="AF16" s="114">
        <f t="shared" si="15"/>
        <v>0</v>
      </c>
      <c r="AG16" s="117"/>
      <c r="AH16" s="117"/>
      <c r="AI16" s="107"/>
      <c r="AJ16" s="118"/>
      <c r="AK16" s="118"/>
    </row>
    <row r="17" spans="2:37" ht="15.6" customHeight="1" x14ac:dyDescent="0.2">
      <c r="B17" s="98" t="s">
        <v>39</v>
      </c>
      <c r="C17" s="99" t="s">
        <v>40</v>
      </c>
      <c r="D17" s="98">
        <f>'Master Data'!J35</f>
        <v>10</v>
      </c>
      <c r="E17" s="98"/>
      <c r="F17" s="98">
        <f>'Cumulative Material Use'!$E$17</f>
        <v>0.55556000000000005</v>
      </c>
      <c r="G17" s="98"/>
      <c r="H17" s="98"/>
      <c r="I17" s="98"/>
      <c r="J17" s="124">
        <f t="shared" si="2"/>
        <v>0</v>
      </c>
      <c r="K17" s="125">
        <f t="shared" si="3"/>
        <v>0</v>
      </c>
      <c r="L17" s="126">
        <f t="shared" si="4"/>
        <v>0</v>
      </c>
      <c r="M17" s="149">
        <f t="shared" si="5"/>
        <v>0</v>
      </c>
      <c r="N17" s="84">
        <f t="shared" si="6"/>
        <v>0</v>
      </c>
      <c r="O17" s="127">
        <f t="shared" si="7"/>
        <v>0</v>
      </c>
      <c r="P17" s="115"/>
      <c r="Q17" s="127">
        <f t="shared" si="8"/>
        <v>0</v>
      </c>
      <c r="R17" s="127">
        <f t="shared" si="9"/>
        <v>0</v>
      </c>
      <c r="S17" s="98"/>
      <c r="T17" s="98"/>
      <c r="U17" s="70">
        <f t="shared" si="10"/>
        <v>0</v>
      </c>
      <c r="V17" s="74">
        <f t="shared" si="11"/>
        <v>0</v>
      </c>
      <c r="W17" s="126">
        <f t="shared" si="12"/>
        <v>0</v>
      </c>
      <c r="X17" s="147">
        <f t="shared" si="0"/>
        <v>0</v>
      </c>
      <c r="Y17" s="128">
        <f t="shared" si="1"/>
        <v>0</v>
      </c>
      <c r="Z17" s="114">
        <f t="shared" si="13"/>
        <v>0</v>
      </c>
      <c r="AA17" s="70"/>
      <c r="AB17" s="74"/>
      <c r="AC17" s="79"/>
      <c r="AD17" s="79"/>
      <c r="AE17" s="84"/>
      <c r="AF17" s="114">
        <f t="shared" si="15"/>
        <v>0</v>
      </c>
      <c r="AG17" s="117"/>
      <c r="AH17" s="117"/>
      <c r="AI17" s="107"/>
      <c r="AJ17" s="118"/>
      <c r="AK17" s="118"/>
    </row>
    <row r="18" spans="2:37" ht="24" customHeight="1" x14ac:dyDescent="0.2">
      <c r="B18" s="100">
        <v>11442</v>
      </c>
      <c r="C18" s="102" t="s">
        <v>41</v>
      </c>
      <c r="D18" s="151">
        <f>'Master Data'!J36</f>
        <v>17.7</v>
      </c>
      <c r="E18" s="98"/>
      <c r="F18" s="98">
        <f>'Cumulative Material Use'!$E$18</f>
        <v>7.4340000000000003E-2</v>
      </c>
      <c r="G18" s="98">
        <f>'Cumulative Material Use'!$E$21</f>
        <v>7.4340000000000003E-2</v>
      </c>
      <c r="H18" s="98"/>
      <c r="I18" s="98"/>
      <c r="J18" s="124">
        <f t="shared" si="2"/>
        <v>0</v>
      </c>
      <c r="K18" s="125">
        <f t="shared" si="3"/>
        <v>0</v>
      </c>
      <c r="L18" s="126">
        <f t="shared" si="4"/>
        <v>0</v>
      </c>
      <c r="M18" s="149">
        <f t="shared" si="5"/>
        <v>0</v>
      </c>
      <c r="N18" s="84">
        <f t="shared" si="6"/>
        <v>0</v>
      </c>
      <c r="O18" s="127">
        <f t="shared" si="7"/>
        <v>0</v>
      </c>
      <c r="P18" s="115"/>
      <c r="Q18" s="127">
        <f t="shared" si="8"/>
        <v>0</v>
      </c>
      <c r="R18" s="127">
        <f t="shared" si="9"/>
        <v>0</v>
      </c>
      <c r="S18" s="98"/>
      <c r="T18" s="98"/>
      <c r="U18" s="70">
        <f t="shared" si="10"/>
        <v>0</v>
      </c>
      <c r="V18" s="74">
        <f t="shared" si="11"/>
        <v>0</v>
      </c>
      <c r="W18" s="126">
        <f t="shared" si="12"/>
        <v>0</v>
      </c>
      <c r="X18" s="147">
        <f t="shared" si="0"/>
        <v>0</v>
      </c>
      <c r="Y18" s="128">
        <f t="shared" si="1"/>
        <v>0</v>
      </c>
      <c r="Z18" s="114">
        <f t="shared" si="13"/>
        <v>0</v>
      </c>
      <c r="AA18" s="70"/>
      <c r="AB18" s="74"/>
      <c r="AC18" s="79"/>
      <c r="AD18" s="79"/>
      <c r="AE18" s="84"/>
      <c r="AF18" s="114">
        <f t="shared" si="15"/>
        <v>0</v>
      </c>
      <c r="AG18" s="117"/>
      <c r="AH18" s="117"/>
      <c r="AI18" s="107"/>
      <c r="AJ18" s="118"/>
      <c r="AK18" s="118"/>
    </row>
    <row r="19" spans="2:37" ht="15.6" customHeight="1" x14ac:dyDescent="0.2">
      <c r="B19" s="98">
        <v>11515</v>
      </c>
      <c r="C19" s="99" t="s">
        <v>42</v>
      </c>
      <c r="D19" s="98">
        <f>'Master Data'!J38</f>
        <v>9.16</v>
      </c>
      <c r="E19" s="98"/>
      <c r="F19" s="98"/>
      <c r="G19" s="98">
        <f>'Cumulative Material Use'!$E$19</f>
        <v>0.71702999999999995</v>
      </c>
      <c r="H19" s="98"/>
      <c r="I19" s="98"/>
      <c r="J19" s="124">
        <f t="shared" si="2"/>
        <v>0</v>
      </c>
      <c r="K19" s="125">
        <f t="shared" si="3"/>
        <v>0</v>
      </c>
      <c r="L19" s="126">
        <f t="shared" si="4"/>
        <v>0</v>
      </c>
      <c r="M19" s="149">
        <f t="shared" si="5"/>
        <v>0</v>
      </c>
      <c r="N19" s="84">
        <f t="shared" si="6"/>
        <v>0</v>
      </c>
      <c r="O19" s="127">
        <f t="shared" si="7"/>
        <v>0</v>
      </c>
      <c r="P19" s="115"/>
      <c r="Q19" s="127">
        <f t="shared" si="8"/>
        <v>0</v>
      </c>
      <c r="R19" s="127">
        <f t="shared" si="9"/>
        <v>0</v>
      </c>
      <c r="S19" s="98"/>
      <c r="T19" s="98"/>
      <c r="U19" s="70">
        <f t="shared" si="10"/>
        <v>0</v>
      </c>
      <c r="V19" s="74">
        <f t="shared" si="11"/>
        <v>0</v>
      </c>
      <c r="W19" s="126">
        <f t="shared" si="12"/>
        <v>0</v>
      </c>
      <c r="X19" s="147">
        <f t="shared" si="0"/>
        <v>0</v>
      </c>
      <c r="Y19" s="128">
        <f t="shared" si="1"/>
        <v>0</v>
      </c>
      <c r="Z19" s="114">
        <f t="shared" si="13"/>
        <v>0</v>
      </c>
      <c r="AA19" s="70"/>
      <c r="AB19" s="74"/>
      <c r="AC19" s="79"/>
      <c r="AD19" s="79"/>
      <c r="AE19" s="84"/>
      <c r="AF19" s="114">
        <f t="shared" si="15"/>
        <v>0</v>
      </c>
      <c r="AG19" s="117"/>
      <c r="AH19" s="117"/>
      <c r="AI19" s="107"/>
      <c r="AJ19" s="118"/>
      <c r="AK19" s="118"/>
    </row>
    <row r="20" spans="2:37" ht="15.6" customHeight="1" x14ac:dyDescent="0.2">
      <c r="B20" s="98" t="s">
        <v>43</v>
      </c>
      <c r="C20" s="99" t="s">
        <v>44</v>
      </c>
      <c r="D20" s="98">
        <f>'Master Data'!J41</f>
        <v>3.55</v>
      </c>
      <c r="E20" s="98"/>
      <c r="F20" s="98"/>
      <c r="G20" s="98">
        <f>'Cumulative Material Use'!$E$22</f>
        <v>0.1961</v>
      </c>
      <c r="H20" s="98"/>
      <c r="I20" s="98"/>
      <c r="J20" s="124">
        <f t="shared" si="2"/>
        <v>0</v>
      </c>
      <c r="K20" s="125">
        <f t="shared" si="3"/>
        <v>0</v>
      </c>
      <c r="L20" s="126">
        <f t="shared" si="4"/>
        <v>0</v>
      </c>
      <c r="M20" s="149">
        <f t="shared" si="5"/>
        <v>0</v>
      </c>
      <c r="N20" s="84">
        <f t="shared" si="6"/>
        <v>0</v>
      </c>
      <c r="O20" s="127">
        <f t="shared" si="7"/>
        <v>0</v>
      </c>
      <c r="P20" s="115"/>
      <c r="Q20" s="127">
        <f t="shared" si="8"/>
        <v>0</v>
      </c>
      <c r="R20" s="127">
        <f t="shared" si="9"/>
        <v>0</v>
      </c>
      <c r="S20" s="98"/>
      <c r="T20" s="98"/>
      <c r="U20" s="70">
        <f t="shared" si="10"/>
        <v>0</v>
      </c>
      <c r="V20" s="74">
        <f t="shared" si="11"/>
        <v>0</v>
      </c>
      <c r="W20" s="126">
        <f t="shared" si="12"/>
        <v>0</v>
      </c>
      <c r="X20" s="147">
        <f t="shared" si="0"/>
        <v>0</v>
      </c>
      <c r="Y20" s="128">
        <f t="shared" si="1"/>
        <v>0</v>
      </c>
      <c r="Z20" s="114">
        <f t="shared" si="13"/>
        <v>0</v>
      </c>
      <c r="AA20" s="70"/>
      <c r="AB20" s="74"/>
      <c r="AC20" s="79"/>
      <c r="AD20" s="79"/>
      <c r="AE20" s="84"/>
      <c r="AF20" s="114">
        <f t="shared" si="15"/>
        <v>0</v>
      </c>
      <c r="AG20" s="117"/>
      <c r="AH20" s="117"/>
      <c r="AI20" s="107"/>
      <c r="AJ20" s="118"/>
      <c r="AK20" s="118"/>
    </row>
    <row r="21" spans="2:37" ht="15.6" customHeight="1" x14ac:dyDescent="0.2">
      <c r="B21" s="98" t="s">
        <v>45</v>
      </c>
      <c r="C21" s="99" t="s">
        <v>46</v>
      </c>
      <c r="D21" s="98">
        <f>'Master Data'!J48</f>
        <v>29.8</v>
      </c>
      <c r="E21" s="98"/>
      <c r="F21" s="98"/>
      <c r="G21" s="98">
        <f>'Cumulative Material Use'!$E$25</f>
        <v>0.44950000000000001</v>
      </c>
      <c r="H21" s="98"/>
      <c r="I21" s="98">
        <f>'Cumulative Material Use'!$E$32</f>
        <v>2.6599999999999999E-2</v>
      </c>
      <c r="J21" s="124">
        <f t="shared" si="2"/>
        <v>0</v>
      </c>
      <c r="K21" s="125">
        <f t="shared" si="3"/>
        <v>0</v>
      </c>
      <c r="L21" s="126">
        <f t="shared" si="4"/>
        <v>0</v>
      </c>
      <c r="M21" s="149">
        <f t="shared" si="5"/>
        <v>0</v>
      </c>
      <c r="N21" s="84">
        <f t="shared" si="6"/>
        <v>0</v>
      </c>
      <c r="O21" s="127">
        <f t="shared" si="7"/>
        <v>0</v>
      </c>
      <c r="P21" s="115"/>
      <c r="Q21" s="127">
        <f t="shared" si="8"/>
        <v>0</v>
      </c>
      <c r="R21" s="127">
        <f t="shared" si="9"/>
        <v>0</v>
      </c>
      <c r="S21" s="98"/>
      <c r="T21" s="98"/>
      <c r="U21" s="70">
        <f t="shared" si="10"/>
        <v>0</v>
      </c>
      <c r="V21" s="74">
        <f t="shared" si="11"/>
        <v>0</v>
      </c>
      <c r="W21" s="126">
        <f t="shared" si="12"/>
        <v>0</v>
      </c>
      <c r="X21" s="147">
        <f t="shared" si="0"/>
        <v>0</v>
      </c>
      <c r="Y21" s="128">
        <f t="shared" si="1"/>
        <v>0</v>
      </c>
      <c r="Z21" s="114">
        <f t="shared" si="13"/>
        <v>0</v>
      </c>
      <c r="AA21" s="70"/>
      <c r="AB21" s="74"/>
      <c r="AC21" s="79"/>
      <c r="AD21" s="79"/>
      <c r="AE21" s="84"/>
      <c r="AF21" s="114">
        <f t="shared" si="15"/>
        <v>0</v>
      </c>
      <c r="AG21" s="117"/>
      <c r="AH21" s="117"/>
      <c r="AI21" s="107"/>
      <c r="AJ21" s="118"/>
      <c r="AK21" s="118"/>
    </row>
    <row r="22" spans="2:37" ht="15.6" customHeight="1" x14ac:dyDescent="0.2">
      <c r="B22" s="98">
        <v>11226</v>
      </c>
      <c r="C22" s="99" t="s">
        <v>47</v>
      </c>
      <c r="D22" s="98">
        <f>'Master Data'!J50</f>
        <v>27.3</v>
      </c>
      <c r="E22" s="98"/>
      <c r="F22" s="98"/>
      <c r="G22" s="98">
        <f>'Cumulative Material Use'!$E$27</f>
        <v>0.47900999999999999</v>
      </c>
      <c r="H22" s="98"/>
      <c r="I22" s="98"/>
      <c r="J22" s="124">
        <f t="shared" si="2"/>
        <v>0</v>
      </c>
      <c r="K22" s="125">
        <f t="shared" si="3"/>
        <v>0</v>
      </c>
      <c r="L22" s="126">
        <f t="shared" si="4"/>
        <v>0</v>
      </c>
      <c r="M22" s="149">
        <f t="shared" si="5"/>
        <v>0</v>
      </c>
      <c r="N22" s="84">
        <f t="shared" si="6"/>
        <v>0</v>
      </c>
      <c r="O22" s="127">
        <f t="shared" si="7"/>
        <v>0</v>
      </c>
      <c r="P22" s="115"/>
      <c r="Q22" s="127">
        <f t="shared" si="8"/>
        <v>0</v>
      </c>
      <c r="R22" s="127">
        <f t="shared" si="9"/>
        <v>0</v>
      </c>
      <c r="S22" s="98"/>
      <c r="T22" s="98"/>
      <c r="U22" s="70">
        <f t="shared" si="10"/>
        <v>0</v>
      </c>
      <c r="V22" s="74">
        <f t="shared" si="11"/>
        <v>0</v>
      </c>
      <c r="W22" s="126">
        <f t="shared" si="12"/>
        <v>0</v>
      </c>
      <c r="X22" s="147">
        <f t="shared" si="0"/>
        <v>0</v>
      </c>
      <c r="Y22" s="128">
        <f t="shared" si="1"/>
        <v>0</v>
      </c>
      <c r="Z22" s="114">
        <f t="shared" si="13"/>
        <v>0</v>
      </c>
      <c r="AA22" s="70"/>
      <c r="AB22" s="74"/>
      <c r="AC22" s="79"/>
      <c r="AD22" s="79"/>
      <c r="AE22" s="84"/>
      <c r="AF22" s="114">
        <f t="shared" si="15"/>
        <v>0</v>
      </c>
      <c r="AG22" s="117"/>
      <c r="AH22" s="117"/>
      <c r="AI22" s="107"/>
      <c r="AJ22" s="118"/>
      <c r="AK22" s="118"/>
    </row>
    <row r="23" spans="2:37" ht="15.6" customHeight="1" x14ac:dyDescent="0.2">
      <c r="B23" s="98">
        <v>10074</v>
      </c>
      <c r="C23" s="99" t="s">
        <v>48</v>
      </c>
      <c r="D23" s="98">
        <f>'Master Data'!J75</f>
        <v>19</v>
      </c>
      <c r="E23" s="98"/>
      <c r="F23" s="98"/>
      <c r="G23" s="98"/>
      <c r="H23" s="98">
        <f>'Cumulative Material Use'!$E$37</f>
        <v>7.92E-3</v>
      </c>
      <c r="I23" s="98"/>
      <c r="J23" s="124"/>
      <c r="K23" s="125"/>
      <c r="L23" s="126"/>
      <c r="M23" s="149">
        <f t="shared" si="5"/>
        <v>0</v>
      </c>
      <c r="N23" s="84"/>
      <c r="O23" s="127"/>
      <c r="P23" s="115"/>
      <c r="Q23" s="127"/>
      <c r="R23" s="127">
        <f t="shared" si="9"/>
        <v>0</v>
      </c>
      <c r="S23" s="98"/>
      <c r="T23" s="98"/>
      <c r="U23" s="70"/>
      <c r="V23" s="74"/>
      <c r="W23" s="126"/>
      <c r="X23" s="147">
        <f t="shared" si="0"/>
        <v>0</v>
      </c>
      <c r="Y23" s="128"/>
      <c r="Z23" s="114"/>
      <c r="AA23" s="70"/>
      <c r="AB23" s="74"/>
      <c r="AC23" s="79"/>
      <c r="AD23" s="79"/>
      <c r="AE23" s="84"/>
      <c r="AF23" s="114"/>
      <c r="AG23" s="117"/>
      <c r="AH23" s="117"/>
      <c r="AI23" s="107"/>
      <c r="AJ23" s="118"/>
      <c r="AK23" s="118"/>
    </row>
    <row r="24" spans="2:37" ht="15.6" customHeight="1" x14ac:dyDescent="0.2">
      <c r="B24" s="98">
        <v>11291</v>
      </c>
      <c r="C24" s="99" t="s">
        <v>49</v>
      </c>
      <c r="D24" s="98">
        <f>'Master Data'!J57</f>
        <v>0.2379</v>
      </c>
      <c r="E24" s="98"/>
      <c r="F24" s="98"/>
      <c r="G24" s="98">
        <f>'Cumulative Material Use'!$E$28</f>
        <v>8.0399999999999999E-2</v>
      </c>
      <c r="H24" s="98"/>
      <c r="I24" s="98"/>
      <c r="J24" s="124">
        <f t="shared" si="2"/>
        <v>0</v>
      </c>
      <c r="K24" s="125">
        <f t="shared" si="3"/>
        <v>0</v>
      </c>
      <c r="L24" s="126">
        <f t="shared" si="4"/>
        <v>0</v>
      </c>
      <c r="M24" s="149">
        <f t="shared" si="5"/>
        <v>0</v>
      </c>
      <c r="N24" s="84">
        <f t="shared" si="6"/>
        <v>0</v>
      </c>
      <c r="O24" s="127">
        <f t="shared" si="7"/>
        <v>0</v>
      </c>
      <c r="P24" s="115"/>
      <c r="Q24" s="127">
        <f t="shared" si="8"/>
        <v>0</v>
      </c>
      <c r="R24" s="127">
        <f t="shared" si="9"/>
        <v>0</v>
      </c>
      <c r="S24" s="98"/>
      <c r="T24" s="98"/>
      <c r="U24" s="70">
        <f t="shared" si="10"/>
        <v>0</v>
      </c>
      <c r="V24" s="74">
        <f t="shared" si="11"/>
        <v>0</v>
      </c>
      <c r="W24" s="126">
        <f t="shared" si="12"/>
        <v>0</v>
      </c>
      <c r="X24" s="147">
        <f t="shared" si="0"/>
        <v>0</v>
      </c>
      <c r="Y24" s="128">
        <f>I24*$AE$4</f>
        <v>0</v>
      </c>
      <c r="Z24" s="114">
        <f t="shared" si="13"/>
        <v>0</v>
      </c>
      <c r="AA24" s="70"/>
      <c r="AB24" s="74"/>
      <c r="AC24" s="79"/>
      <c r="AD24" s="79"/>
      <c r="AE24" s="84"/>
      <c r="AF24" s="114">
        <f t="shared" si="15"/>
        <v>0</v>
      </c>
      <c r="AG24" s="117"/>
      <c r="AH24" s="117"/>
      <c r="AI24" s="107"/>
      <c r="AJ24" s="118"/>
      <c r="AK24" s="118"/>
    </row>
    <row r="25" spans="2:37" ht="15.6" customHeight="1" x14ac:dyDescent="0.2">
      <c r="B25" s="98">
        <v>11290</v>
      </c>
      <c r="C25" s="99" t="s">
        <v>50</v>
      </c>
      <c r="D25" s="98">
        <f>'Master Data'!J58</f>
        <v>0.1308</v>
      </c>
      <c r="E25" s="98"/>
      <c r="F25" s="98"/>
      <c r="G25" s="98">
        <f>'Cumulative Material Use'!$E$29</f>
        <v>5.5500000000000001E-2</v>
      </c>
      <c r="H25" s="98"/>
      <c r="I25" s="98"/>
      <c r="J25" s="124">
        <f t="shared" si="2"/>
        <v>0</v>
      </c>
      <c r="K25" s="125">
        <f t="shared" si="3"/>
        <v>0</v>
      </c>
      <c r="L25" s="126">
        <f t="shared" si="4"/>
        <v>0</v>
      </c>
      <c r="M25" s="149">
        <f t="shared" si="5"/>
        <v>0</v>
      </c>
      <c r="N25" s="84">
        <f t="shared" si="6"/>
        <v>0</v>
      </c>
      <c r="O25" s="127">
        <f t="shared" si="7"/>
        <v>0</v>
      </c>
      <c r="P25" s="115"/>
      <c r="Q25" s="127">
        <f t="shared" si="8"/>
        <v>0</v>
      </c>
      <c r="R25" s="127">
        <f t="shared" si="9"/>
        <v>0</v>
      </c>
      <c r="S25" s="98"/>
      <c r="T25" s="98"/>
      <c r="U25" s="70">
        <f t="shared" si="10"/>
        <v>0</v>
      </c>
      <c r="V25" s="74">
        <f t="shared" si="11"/>
        <v>0</v>
      </c>
      <c r="W25" s="126">
        <f t="shared" si="12"/>
        <v>0</v>
      </c>
      <c r="X25" s="147">
        <f t="shared" si="0"/>
        <v>0</v>
      </c>
      <c r="Y25" s="128">
        <f>I25*$AE$4</f>
        <v>0</v>
      </c>
      <c r="Z25" s="114">
        <f t="shared" si="13"/>
        <v>0</v>
      </c>
      <c r="AA25" s="70"/>
      <c r="AB25" s="74"/>
      <c r="AC25" s="79"/>
      <c r="AD25" s="79"/>
      <c r="AE25" s="84"/>
      <c r="AF25" s="114">
        <f t="shared" si="15"/>
        <v>0</v>
      </c>
      <c r="AG25" s="117"/>
      <c r="AH25" s="117"/>
      <c r="AI25" s="107"/>
      <c r="AJ25" s="118"/>
      <c r="AK25" s="118"/>
    </row>
  </sheetData>
  <mergeCells count="17">
    <mergeCell ref="B6:B7"/>
    <mergeCell ref="C6:C7"/>
    <mergeCell ref="E6:I6"/>
    <mergeCell ref="D6:D7"/>
    <mergeCell ref="R6:R7"/>
    <mergeCell ref="AA2:AE2"/>
    <mergeCell ref="J2:N2"/>
    <mergeCell ref="J6:O6"/>
    <mergeCell ref="P6:P7"/>
    <mergeCell ref="Q6:Q7"/>
    <mergeCell ref="U6:Z6"/>
    <mergeCell ref="AK6:AK7"/>
    <mergeCell ref="AA6:AF6"/>
    <mergeCell ref="S6:T6"/>
    <mergeCell ref="AG6:AH6"/>
    <mergeCell ref="AI6:AI7"/>
    <mergeCell ref="AJ6:AJ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1826-66F5-4AA9-A9A9-6B014A15798E}">
  <dimension ref="B1:AO95"/>
  <sheetViews>
    <sheetView showGridLines="0" zoomScale="90" zoomScaleNormal="90" workbookViewId="0">
      <pane xSplit="3" ySplit="11" topLeftCell="D40" activePane="bottomRight" state="frozen"/>
      <selection pane="topRight" activeCell="D1" sqref="D1"/>
      <selection pane="bottomLeft" activeCell="A8" sqref="A8"/>
      <selection pane="bottomRight" activeCell="C21" sqref="C21"/>
    </sheetView>
  </sheetViews>
  <sheetFormatPr defaultColWidth="9.109375" defaultRowHeight="15.6" customHeight="1" x14ac:dyDescent="0.2"/>
  <cols>
    <col min="1" max="1" width="1.6640625" style="3" customWidth="1"/>
    <col min="2" max="2" width="8.88671875" style="3"/>
    <col min="3" max="3" width="63" style="3" customWidth="1"/>
    <col min="4" max="4" width="10.88671875" style="3" customWidth="1"/>
    <col min="5" max="9" width="7.33203125" style="3" customWidth="1"/>
    <col min="10" max="10" width="7.5546875" style="3" customWidth="1"/>
    <col min="11" max="11" width="10.109375" style="3" customWidth="1"/>
    <col min="12" max="12" width="8.88671875" style="3"/>
    <col min="13" max="13" width="9.109375" style="3" customWidth="1"/>
    <col min="14" max="14" width="8.88671875" style="3"/>
    <col min="15" max="15" width="9.109375" style="3" customWidth="1"/>
    <col min="16" max="16" width="11.6640625" style="3" customWidth="1"/>
    <col min="17" max="17" width="13" style="3" customWidth="1"/>
    <col min="18" max="21" width="12" style="3" customWidth="1"/>
    <col min="22" max="22" width="8.6640625" style="3" customWidth="1"/>
    <col min="23" max="28" width="7.88671875" style="3" customWidth="1"/>
    <col min="29" max="29" width="11.5546875" style="3" customWidth="1"/>
    <col min="30" max="31" width="8.88671875" style="3"/>
    <col min="32" max="32" width="9.109375" style="3" customWidth="1"/>
    <col min="33" max="33" width="8.88671875" style="3"/>
    <col min="34" max="34" width="9.109375" style="3" customWidth="1"/>
    <col min="35" max="35" width="11" style="3" bestFit="1" customWidth="1"/>
    <col min="36" max="37" width="8.88671875" style="3"/>
    <col min="38" max="38" width="19.6640625" style="3" customWidth="1"/>
    <col min="39" max="39" width="23.33203125" style="3" customWidth="1"/>
    <col min="40" max="40" width="26.5546875" style="3" customWidth="1"/>
    <col min="41" max="41" width="14.33203125" style="3" customWidth="1"/>
    <col min="42" max="16384" width="9.109375" style="3"/>
  </cols>
  <sheetData>
    <row r="1" spans="2:41" ht="3" customHeight="1" x14ac:dyDescent="0.2"/>
    <row r="2" spans="2:41" ht="12" customHeight="1" x14ac:dyDescent="0.2">
      <c r="K2" s="212" t="s">
        <v>51</v>
      </c>
      <c r="L2" s="212"/>
      <c r="M2" s="212"/>
      <c r="N2" s="212"/>
      <c r="O2" s="212"/>
      <c r="AD2" s="212" t="s">
        <v>52</v>
      </c>
      <c r="AE2" s="212"/>
      <c r="AF2" s="212"/>
      <c r="AG2" s="212"/>
      <c r="AH2" s="212"/>
    </row>
    <row r="3" spans="2:41" ht="26.4" customHeight="1" x14ac:dyDescent="0.2">
      <c r="K3" s="119" t="s">
        <v>2</v>
      </c>
      <c r="L3" s="120" t="s">
        <v>3</v>
      </c>
      <c r="M3" s="121" t="s">
        <v>4</v>
      </c>
      <c r="N3" s="150" t="s">
        <v>5</v>
      </c>
      <c r="O3" s="122" t="s">
        <v>6</v>
      </c>
      <c r="AD3" s="103" t="s">
        <v>2</v>
      </c>
      <c r="AE3" s="104" t="s">
        <v>3</v>
      </c>
      <c r="AF3" s="105" t="s">
        <v>4</v>
      </c>
      <c r="AG3" s="150" t="s">
        <v>5</v>
      </c>
      <c r="AH3" s="106" t="s">
        <v>6</v>
      </c>
    </row>
    <row r="4" spans="2:41" ht="10.95" customHeight="1" x14ac:dyDescent="0.2">
      <c r="I4" s="123" t="s">
        <v>53</v>
      </c>
      <c r="J4" s="123" t="s">
        <v>53</v>
      </c>
      <c r="K4" s="98">
        <v>10000</v>
      </c>
      <c r="L4" s="98">
        <f>10500+20700</f>
        <v>31200</v>
      </c>
      <c r="M4" s="98"/>
      <c r="N4" s="98">
        <v>10500</v>
      </c>
      <c r="O4" s="98"/>
      <c r="AC4" s="123" t="s">
        <v>53</v>
      </c>
      <c r="AD4" s="98">
        <v>3000</v>
      </c>
      <c r="AE4" s="98"/>
      <c r="AF4" s="98"/>
      <c r="AG4" s="98"/>
      <c r="AH4" s="98"/>
    </row>
    <row r="5" spans="2:41" ht="10.95" customHeight="1" x14ac:dyDescent="0.2">
      <c r="I5" s="123" t="s">
        <v>54</v>
      </c>
      <c r="J5" s="123" t="s">
        <v>54</v>
      </c>
      <c r="K5" s="98"/>
      <c r="L5" s="98"/>
      <c r="M5" s="98"/>
      <c r="N5" s="98"/>
      <c r="O5" s="98"/>
      <c r="AC5" s="123" t="s">
        <v>54</v>
      </c>
      <c r="AD5" s="98"/>
      <c r="AE5" s="98"/>
      <c r="AF5" s="98"/>
      <c r="AG5" s="98"/>
      <c r="AH5" s="98"/>
    </row>
    <row r="6" spans="2:41" ht="10.95" customHeight="1" x14ac:dyDescent="0.2">
      <c r="I6" s="123" t="s">
        <v>55</v>
      </c>
      <c r="J6" s="123" t="s">
        <v>55</v>
      </c>
      <c r="K6" s="98"/>
      <c r="L6" s="98"/>
      <c r="M6" s="98"/>
      <c r="N6" s="98"/>
      <c r="O6" s="98"/>
      <c r="AC6" s="123" t="s">
        <v>55</v>
      </c>
      <c r="AD6" s="98"/>
      <c r="AE6" s="98"/>
      <c r="AF6" s="98"/>
      <c r="AG6" s="98"/>
      <c r="AH6" s="98"/>
    </row>
    <row r="7" spans="2:41" ht="10.95" customHeight="1" x14ac:dyDescent="0.2">
      <c r="I7" s="123" t="s">
        <v>56</v>
      </c>
      <c r="J7" s="123" t="s">
        <v>56</v>
      </c>
      <c r="K7" s="98"/>
      <c r="L7" s="98"/>
      <c r="M7" s="98"/>
      <c r="N7" s="98"/>
      <c r="O7" s="98"/>
      <c r="AC7" s="123" t="s">
        <v>56</v>
      </c>
      <c r="AD7" s="98"/>
      <c r="AE7" s="98"/>
      <c r="AF7" s="98"/>
      <c r="AG7" s="98"/>
      <c r="AH7" s="98"/>
    </row>
    <row r="8" spans="2:41" ht="6" customHeight="1" x14ac:dyDescent="0.2"/>
    <row r="9" spans="2:41" ht="15.6" customHeight="1" x14ac:dyDescent="0.25">
      <c r="B9" s="223" t="s">
        <v>53</v>
      </c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  <c r="Z9" s="223"/>
      <c r="AA9" s="223"/>
      <c r="AB9" s="223"/>
      <c r="AC9" s="223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</row>
    <row r="10" spans="2:41" ht="21" customHeight="1" x14ac:dyDescent="0.2">
      <c r="B10" s="218" t="s">
        <v>7</v>
      </c>
      <c r="C10" s="220" t="s">
        <v>8</v>
      </c>
      <c r="D10" s="218" t="s">
        <v>9</v>
      </c>
      <c r="E10" s="222" t="s">
        <v>10</v>
      </c>
      <c r="F10" s="222"/>
      <c r="G10" s="222"/>
      <c r="H10" s="222"/>
      <c r="I10" s="222"/>
      <c r="J10" s="226"/>
      <c r="K10" s="214" t="s">
        <v>57</v>
      </c>
      <c r="L10" s="214"/>
      <c r="M10" s="214"/>
      <c r="N10" s="214"/>
      <c r="O10" s="214"/>
      <c r="P10" s="214"/>
      <c r="Q10" s="204" t="s">
        <v>12</v>
      </c>
      <c r="R10" s="215" t="s">
        <v>13</v>
      </c>
      <c r="S10" s="215" t="s">
        <v>14</v>
      </c>
      <c r="T10" s="215" t="s">
        <v>58</v>
      </c>
      <c r="U10" s="215" t="s">
        <v>59</v>
      </c>
      <c r="V10" s="207" t="s">
        <v>15</v>
      </c>
      <c r="W10" s="208"/>
      <c r="X10" s="217" t="s">
        <v>60</v>
      </c>
      <c r="Y10" s="217"/>
      <c r="Z10" s="217"/>
      <c r="AA10" s="217"/>
      <c r="AB10" s="217"/>
      <c r="AC10" s="217"/>
      <c r="AD10" s="206" t="s">
        <v>61</v>
      </c>
      <c r="AE10" s="206"/>
      <c r="AF10" s="206"/>
      <c r="AG10" s="206"/>
      <c r="AH10" s="206"/>
      <c r="AI10" s="206"/>
      <c r="AJ10" s="207" t="s">
        <v>18</v>
      </c>
      <c r="AK10" s="208"/>
      <c r="AL10" s="209" t="s">
        <v>19</v>
      </c>
      <c r="AM10" s="224" t="s">
        <v>62</v>
      </c>
      <c r="AN10" s="224" t="s">
        <v>63</v>
      </c>
      <c r="AO10" s="204" t="s">
        <v>21</v>
      </c>
    </row>
    <row r="11" spans="2:41" ht="25.2" customHeight="1" x14ac:dyDescent="0.2">
      <c r="B11" s="219"/>
      <c r="C11" s="221"/>
      <c r="D11" s="219"/>
      <c r="E11" s="108" t="s">
        <v>2</v>
      </c>
      <c r="F11" s="109" t="s">
        <v>22</v>
      </c>
      <c r="G11" s="110" t="s">
        <v>23</v>
      </c>
      <c r="H11" s="148" t="s">
        <v>5</v>
      </c>
      <c r="I11" s="111" t="s">
        <v>24</v>
      </c>
      <c r="J11" s="227"/>
      <c r="K11" s="108" t="s">
        <v>2</v>
      </c>
      <c r="L11" s="109" t="s">
        <v>22</v>
      </c>
      <c r="M11" s="110" t="s">
        <v>23</v>
      </c>
      <c r="N11" s="148" t="s">
        <v>5</v>
      </c>
      <c r="O11" s="111" t="s">
        <v>24</v>
      </c>
      <c r="P11" s="112" t="s">
        <v>25</v>
      </c>
      <c r="Q11" s="205"/>
      <c r="R11" s="216"/>
      <c r="S11" s="216"/>
      <c r="T11" s="216"/>
      <c r="U11" s="216"/>
      <c r="V11" s="113" t="s">
        <v>26</v>
      </c>
      <c r="W11" s="113" t="s">
        <v>27</v>
      </c>
      <c r="X11" s="108" t="s">
        <v>2</v>
      </c>
      <c r="Y11" s="109" t="s">
        <v>22</v>
      </c>
      <c r="Z11" s="110" t="s">
        <v>23</v>
      </c>
      <c r="AA11" s="148" t="s">
        <v>5</v>
      </c>
      <c r="AB11" s="111" t="s">
        <v>24</v>
      </c>
      <c r="AC11" s="112" t="s">
        <v>25</v>
      </c>
      <c r="AD11" s="108" t="s">
        <v>2</v>
      </c>
      <c r="AE11" s="109" t="s">
        <v>22</v>
      </c>
      <c r="AF11" s="110" t="s">
        <v>23</v>
      </c>
      <c r="AG11" s="148" t="s">
        <v>5</v>
      </c>
      <c r="AH11" s="111" t="s">
        <v>24</v>
      </c>
      <c r="AI11" s="112" t="s">
        <v>25</v>
      </c>
      <c r="AJ11" s="113" t="s">
        <v>27</v>
      </c>
      <c r="AK11" s="113" t="s">
        <v>26</v>
      </c>
      <c r="AL11" s="209"/>
      <c r="AM11" s="225"/>
      <c r="AN11" s="225"/>
      <c r="AO11" s="205"/>
    </row>
    <row r="12" spans="2:41" ht="15.6" customHeight="1" x14ac:dyDescent="0.2">
      <c r="B12" s="98">
        <v>11279</v>
      </c>
      <c r="C12" s="99" t="s">
        <v>28</v>
      </c>
      <c r="D12" s="98">
        <f>'Monthly Material Planning'!$D$8</f>
        <v>12.8</v>
      </c>
      <c r="E12" s="98">
        <f>'Cumulative Material Use'!$E$3</f>
        <v>0.96429999999999993</v>
      </c>
      <c r="F12" s="98">
        <f>'Cumulative Material Use'!$E$11</f>
        <v>0.2414</v>
      </c>
      <c r="G12" s="98">
        <f>'Cumulative Material Use'!$E$24</f>
        <v>0.50680000000000003</v>
      </c>
      <c r="H12" s="98">
        <f>'Cumulative Material Use'!$E$34</f>
        <v>0.96900000000000008</v>
      </c>
      <c r="I12" s="98"/>
      <c r="J12" s="84"/>
      <c r="K12" s="124">
        <f>E12*$K$4</f>
        <v>9643</v>
      </c>
      <c r="L12" s="125">
        <f>F12*$L$4</f>
        <v>7531.68</v>
      </c>
      <c r="M12" s="126">
        <f>G12*$M$4</f>
        <v>0</v>
      </c>
      <c r="N12" s="149">
        <f>H12*$N$4</f>
        <v>10174.5</v>
      </c>
      <c r="O12" s="129">
        <f>I12*$O$4</f>
        <v>0</v>
      </c>
      <c r="P12" s="127">
        <f>SUM(K12:O12)</f>
        <v>27349.18</v>
      </c>
      <c r="Q12" s="115">
        <v>29642.89</v>
      </c>
      <c r="R12" s="127">
        <f>P12-Q12</f>
        <v>-2293.7099999999991</v>
      </c>
      <c r="S12" s="127">
        <f>R12/D12</f>
        <v>-179.19609374999993</v>
      </c>
      <c r="T12" s="127"/>
      <c r="U12" s="127"/>
      <c r="V12" s="98"/>
      <c r="W12" s="98"/>
      <c r="X12" s="70">
        <f t="shared" ref="X12:X26" si="0">E12*$AD$4</f>
        <v>2892.8999999999996</v>
      </c>
      <c r="Y12" s="74">
        <f t="shared" ref="Y12:Y26" si="1">F12*$AE$4</f>
        <v>0</v>
      </c>
      <c r="Z12" s="79">
        <f t="shared" ref="Z12:Z26" si="2">G12*$AF$4</f>
        <v>0</v>
      </c>
      <c r="AA12" s="149">
        <f t="shared" ref="AA12:AA29" si="3">H12*$AG$4</f>
        <v>0</v>
      </c>
      <c r="AB12" s="84">
        <f t="shared" ref="AB12:AB26" si="4">I12*$AH$4</f>
        <v>0</v>
      </c>
      <c r="AC12" s="114">
        <f>SUM(X12:AB12)</f>
        <v>2892.8999999999996</v>
      </c>
      <c r="AD12" s="70"/>
      <c r="AE12" s="74"/>
      <c r="AF12" s="79"/>
      <c r="AG12" s="149"/>
      <c r="AH12" s="84"/>
      <c r="AI12" s="114">
        <f>SUM(AD12:AH12)</f>
        <v>0</v>
      </c>
      <c r="AJ12" s="116"/>
      <c r="AK12" s="117"/>
      <c r="AL12" s="107"/>
      <c r="AM12" s="118"/>
      <c r="AN12" s="118"/>
      <c r="AO12" s="118"/>
    </row>
    <row r="13" spans="2:41" ht="15.6" customHeight="1" x14ac:dyDescent="0.2">
      <c r="B13" s="98" t="s">
        <v>29</v>
      </c>
      <c r="C13" s="99" t="s">
        <v>30</v>
      </c>
      <c r="D13" s="98">
        <f>'Monthly Material Planning'!$D$9</f>
        <v>17</v>
      </c>
      <c r="E13" s="98">
        <f>'Cumulative Material Use'!$E$4</f>
        <v>0.2646</v>
      </c>
      <c r="F13" s="98"/>
      <c r="G13" s="98"/>
      <c r="H13" s="98">
        <f>'Cumulative Material Use'!$E$38</f>
        <v>6.3600000000000004E-2</v>
      </c>
      <c r="I13" s="98"/>
      <c r="J13" s="84"/>
      <c r="K13" s="124">
        <f t="shared" ref="K13:K29" si="5">E13*$K$4</f>
        <v>2646</v>
      </c>
      <c r="L13" s="125">
        <f t="shared" ref="L13:L29" si="6">F13*$L$4</f>
        <v>0</v>
      </c>
      <c r="M13" s="126">
        <f t="shared" ref="M13:M29" si="7">G13*$M$4</f>
        <v>0</v>
      </c>
      <c r="N13" s="149">
        <f t="shared" ref="N13:N29" si="8">H13*$N$4</f>
        <v>667.80000000000007</v>
      </c>
      <c r="O13" s="129">
        <f t="shared" ref="O13" si="9">I13*$O$4</f>
        <v>0</v>
      </c>
      <c r="P13" s="127">
        <f t="shared" ref="P13:P29" si="10">SUM(K13:O13)</f>
        <v>3313.8</v>
      </c>
      <c r="Q13" s="115">
        <v>8985.75</v>
      </c>
      <c r="R13" s="127">
        <f t="shared" ref="R13:R29" si="11">P13-Q13</f>
        <v>-5671.95</v>
      </c>
      <c r="S13" s="127">
        <f t="shared" ref="S13:S29" si="12">R13/D13</f>
        <v>-333.64411764705881</v>
      </c>
      <c r="T13" s="127"/>
      <c r="U13" s="127"/>
      <c r="V13" s="98"/>
      <c r="W13" s="98"/>
      <c r="X13" s="70">
        <f t="shared" si="0"/>
        <v>793.8</v>
      </c>
      <c r="Y13" s="74">
        <f t="shared" si="1"/>
        <v>0</v>
      </c>
      <c r="Z13" s="79">
        <f t="shared" si="2"/>
        <v>0</v>
      </c>
      <c r="AA13" s="149">
        <f t="shared" si="3"/>
        <v>0</v>
      </c>
      <c r="AB13" s="84">
        <f t="shared" si="4"/>
        <v>0</v>
      </c>
      <c r="AC13" s="114">
        <f t="shared" ref="AC13:AC29" si="13">SUM(X13:AB13)</f>
        <v>793.8</v>
      </c>
      <c r="AD13" s="70"/>
      <c r="AE13" s="74"/>
      <c r="AF13" s="79"/>
      <c r="AG13" s="149"/>
      <c r="AH13" s="84"/>
      <c r="AI13" s="114">
        <f t="shared" ref="AI13:AI29" si="14">SUM(AD13:AH13)</f>
        <v>0</v>
      </c>
      <c r="AJ13" s="117"/>
      <c r="AK13" s="117"/>
      <c r="AL13" s="107"/>
      <c r="AM13" s="118"/>
      <c r="AN13" s="118"/>
      <c r="AO13" s="118"/>
    </row>
    <row r="14" spans="2:41" ht="15.6" customHeight="1" x14ac:dyDescent="0.2">
      <c r="B14" s="98">
        <v>10154</v>
      </c>
      <c r="C14" s="99" t="s">
        <v>31</v>
      </c>
      <c r="D14" s="98">
        <f>'Monthly Material Planning'!$D$10</f>
        <v>13.5</v>
      </c>
      <c r="E14" s="98">
        <f>'Cumulative Material Use'!$E$5</f>
        <v>5.3999999999999999E-2</v>
      </c>
      <c r="F14" s="98">
        <f>'Cumulative Material Use'!$E$13</f>
        <v>0.1646</v>
      </c>
      <c r="G14" s="98">
        <f>'Cumulative Material Use'!$E$20</f>
        <v>0.68471000000000004</v>
      </c>
      <c r="H14" s="98">
        <f>'Cumulative Material Use'!$E$35</f>
        <v>0.18989999999999999</v>
      </c>
      <c r="I14" s="98">
        <f>'Cumulative Material Use'!$E$31</f>
        <v>5.7600000000000005E-2</v>
      </c>
      <c r="J14" s="84"/>
      <c r="K14" s="124">
        <f t="shared" si="5"/>
        <v>540</v>
      </c>
      <c r="L14" s="125">
        <f t="shared" si="6"/>
        <v>5135.5199999999995</v>
      </c>
      <c r="M14" s="126">
        <f t="shared" si="7"/>
        <v>0</v>
      </c>
      <c r="N14" s="149">
        <f t="shared" si="8"/>
        <v>1993.9499999999998</v>
      </c>
      <c r="O14" s="129">
        <f>I14*$O$4</f>
        <v>0</v>
      </c>
      <c r="P14" s="127">
        <f t="shared" si="10"/>
        <v>7669.4699999999993</v>
      </c>
      <c r="Q14" s="115">
        <v>20767.93</v>
      </c>
      <c r="R14" s="127">
        <f t="shared" si="11"/>
        <v>-13098.460000000001</v>
      </c>
      <c r="S14" s="127">
        <f t="shared" si="12"/>
        <v>-970.25629629629634</v>
      </c>
      <c r="T14" s="127"/>
      <c r="U14" s="127"/>
      <c r="V14" s="98"/>
      <c r="W14" s="98"/>
      <c r="X14" s="70">
        <f t="shared" si="0"/>
        <v>162</v>
      </c>
      <c r="Y14" s="74">
        <f t="shared" si="1"/>
        <v>0</v>
      </c>
      <c r="Z14" s="79">
        <f t="shared" si="2"/>
        <v>0</v>
      </c>
      <c r="AA14" s="149">
        <f t="shared" si="3"/>
        <v>0</v>
      </c>
      <c r="AB14" s="84">
        <f t="shared" si="4"/>
        <v>0</v>
      </c>
      <c r="AC14" s="114">
        <f t="shared" si="13"/>
        <v>162</v>
      </c>
      <c r="AD14" s="70"/>
      <c r="AE14" s="74"/>
      <c r="AF14" s="79"/>
      <c r="AG14" s="149"/>
      <c r="AH14" s="84"/>
      <c r="AI14" s="114">
        <f t="shared" si="14"/>
        <v>0</v>
      </c>
      <c r="AJ14" s="117"/>
      <c r="AK14" s="117"/>
      <c r="AL14" s="107"/>
      <c r="AM14" s="118"/>
      <c r="AN14" s="118"/>
      <c r="AO14" s="118"/>
    </row>
    <row r="15" spans="2:41" ht="15.6" customHeight="1" x14ac:dyDescent="0.2">
      <c r="B15" s="98">
        <v>10155</v>
      </c>
      <c r="C15" s="99" t="s">
        <v>32</v>
      </c>
      <c r="D15" s="98">
        <f>'Monthly Material Planning'!$D$11</f>
        <v>18.100000000000001</v>
      </c>
      <c r="E15" s="98">
        <f>'Cumulative Material Use'!$E$6</f>
        <v>0.66821000000000008</v>
      </c>
      <c r="F15" s="98">
        <f>'Cumulative Material Use'!$E$15</f>
        <v>0.50700999999999996</v>
      </c>
      <c r="G15" s="98">
        <f>'Cumulative Material Use'!$E$26</f>
        <v>7.8899999999999998E-2</v>
      </c>
      <c r="H15" s="98">
        <f>'Cumulative Material Use'!$E$36</f>
        <v>0.4622</v>
      </c>
      <c r="I15" s="98"/>
      <c r="J15" s="84"/>
      <c r="K15" s="124">
        <f t="shared" si="5"/>
        <v>6682.1</v>
      </c>
      <c r="L15" s="125">
        <f t="shared" si="6"/>
        <v>15818.712</v>
      </c>
      <c r="M15" s="126">
        <f t="shared" si="7"/>
        <v>0</v>
      </c>
      <c r="N15" s="149">
        <f t="shared" si="8"/>
        <v>4853.1000000000004</v>
      </c>
      <c r="O15" s="129">
        <f>I15*$O$4</f>
        <v>0</v>
      </c>
      <c r="P15" s="127">
        <f t="shared" si="10"/>
        <v>27353.911999999997</v>
      </c>
      <c r="Q15" s="115">
        <v>31441.71</v>
      </c>
      <c r="R15" s="127">
        <f t="shared" si="11"/>
        <v>-4087.7980000000025</v>
      </c>
      <c r="S15" s="127">
        <f t="shared" si="12"/>
        <v>-225.84519337016587</v>
      </c>
      <c r="T15" s="127"/>
      <c r="U15" s="127"/>
      <c r="V15" s="98"/>
      <c r="W15" s="98"/>
      <c r="X15" s="70">
        <f t="shared" si="0"/>
        <v>2004.6300000000003</v>
      </c>
      <c r="Y15" s="74">
        <f t="shared" si="1"/>
        <v>0</v>
      </c>
      <c r="Z15" s="79">
        <f t="shared" si="2"/>
        <v>0</v>
      </c>
      <c r="AA15" s="149">
        <f t="shared" si="3"/>
        <v>0</v>
      </c>
      <c r="AB15" s="84">
        <f t="shared" si="4"/>
        <v>0</v>
      </c>
      <c r="AC15" s="114">
        <f t="shared" si="13"/>
        <v>2004.6300000000003</v>
      </c>
      <c r="AD15" s="70"/>
      <c r="AE15" s="74"/>
      <c r="AF15" s="79"/>
      <c r="AG15" s="149"/>
      <c r="AH15" s="84"/>
      <c r="AI15" s="114">
        <f t="shared" si="14"/>
        <v>0</v>
      </c>
      <c r="AJ15" s="117"/>
      <c r="AK15" s="117"/>
      <c r="AL15" s="107"/>
      <c r="AM15" s="118"/>
      <c r="AN15" s="118"/>
      <c r="AO15" s="118"/>
    </row>
    <row r="16" spans="2:41" ht="15.6" customHeight="1" x14ac:dyDescent="0.2">
      <c r="B16" s="98">
        <v>11332</v>
      </c>
      <c r="C16" s="196" t="s">
        <v>33</v>
      </c>
      <c r="D16" s="98">
        <f>'Monthly Material Planning'!$D$12</f>
        <v>31.7</v>
      </c>
      <c r="E16" s="98">
        <f>'Cumulative Material Use'!$E$7</f>
        <v>0.51670000000000005</v>
      </c>
      <c r="F16" s="98">
        <f>'Cumulative Material Use'!$E$16</f>
        <v>0.52669999999999995</v>
      </c>
      <c r="G16" s="98"/>
      <c r="H16" s="98">
        <f>'Cumulative Material Use'!$E$42</f>
        <v>0.58520000000000005</v>
      </c>
      <c r="I16" s="98"/>
      <c r="J16" s="84"/>
      <c r="K16" s="124">
        <f t="shared" si="5"/>
        <v>5167.0000000000009</v>
      </c>
      <c r="L16" s="125">
        <f t="shared" si="6"/>
        <v>16433.039999999997</v>
      </c>
      <c r="M16" s="126">
        <f t="shared" si="7"/>
        <v>0</v>
      </c>
      <c r="N16" s="149">
        <f t="shared" si="8"/>
        <v>6144.6</v>
      </c>
      <c r="O16" s="129">
        <f t="shared" ref="O16:O29" si="15">I16*$O$4</f>
        <v>0</v>
      </c>
      <c r="P16" s="127">
        <f t="shared" si="10"/>
        <v>27744.639999999999</v>
      </c>
      <c r="Q16" s="115">
        <v>20254.3</v>
      </c>
      <c r="R16" s="127">
        <f t="shared" si="11"/>
        <v>7490.34</v>
      </c>
      <c r="S16" s="127">
        <f t="shared" si="12"/>
        <v>236.28832807570979</v>
      </c>
      <c r="T16" s="127"/>
      <c r="U16" s="127"/>
      <c r="V16" s="98"/>
      <c r="W16" s="98"/>
      <c r="X16" s="70">
        <f t="shared" si="0"/>
        <v>1550.1000000000001</v>
      </c>
      <c r="Y16" s="74">
        <f t="shared" si="1"/>
        <v>0</v>
      </c>
      <c r="Z16" s="79">
        <f t="shared" si="2"/>
        <v>0</v>
      </c>
      <c r="AA16" s="149">
        <f t="shared" si="3"/>
        <v>0</v>
      </c>
      <c r="AB16" s="84">
        <f t="shared" si="4"/>
        <v>0</v>
      </c>
      <c r="AC16" s="114">
        <f t="shared" si="13"/>
        <v>1550.1000000000001</v>
      </c>
      <c r="AD16" s="70"/>
      <c r="AE16" s="74"/>
      <c r="AF16" s="79"/>
      <c r="AG16" s="149"/>
      <c r="AH16" s="84"/>
      <c r="AI16" s="114">
        <f t="shared" si="14"/>
        <v>0</v>
      </c>
      <c r="AJ16" s="117"/>
      <c r="AK16" s="117"/>
      <c r="AL16" s="107"/>
      <c r="AM16" s="118"/>
      <c r="AN16" s="118"/>
      <c r="AO16" s="118"/>
    </row>
    <row r="17" spans="2:41" ht="15.6" customHeight="1" x14ac:dyDescent="0.2">
      <c r="B17" s="98" t="s">
        <v>34</v>
      </c>
      <c r="C17" s="196" t="s">
        <v>35</v>
      </c>
      <c r="D17" s="98">
        <f>'Monthly Material Planning'!$D$13</f>
        <v>15.6</v>
      </c>
      <c r="E17" s="98">
        <f>'Cumulative Material Use'!$E$8</f>
        <v>1.08</v>
      </c>
      <c r="F17" s="98"/>
      <c r="G17" s="98"/>
      <c r="H17" s="98">
        <f>'Cumulative Material Use'!$E$39</f>
        <v>0.82130000000000003</v>
      </c>
      <c r="I17" s="98"/>
      <c r="J17" s="84"/>
      <c r="K17" s="124">
        <f t="shared" si="5"/>
        <v>10800</v>
      </c>
      <c r="L17" s="125">
        <f t="shared" si="6"/>
        <v>0</v>
      </c>
      <c r="M17" s="126">
        <f t="shared" si="7"/>
        <v>0</v>
      </c>
      <c r="N17" s="149">
        <f t="shared" si="8"/>
        <v>8623.65</v>
      </c>
      <c r="O17" s="129">
        <f t="shared" si="15"/>
        <v>0</v>
      </c>
      <c r="P17" s="127">
        <f t="shared" si="10"/>
        <v>19423.650000000001</v>
      </c>
      <c r="Q17" s="115">
        <v>12409.07</v>
      </c>
      <c r="R17" s="127">
        <f t="shared" si="11"/>
        <v>7014.5800000000017</v>
      </c>
      <c r="S17" s="127">
        <f t="shared" si="12"/>
        <v>449.65256410256421</v>
      </c>
      <c r="T17" s="127"/>
      <c r="U17" s="127"/>
      <c r="V17" s="98"/>
      <c r="W17" s="98"/>
      <c r="X17" s="70">
        <f t="shared" si="0"/>
        <v>3240</v>
      </c>
      <c r="Y17" s="74">
        <f t="shared" si="1"/>
        <v>0</v>
      </c>
      <c r="Z17" s="79">
        <f t="shared" si="2"/>
        <v>0</v>
      </c>
      <c r="AA17" s="149">
        <f t="shared" si="3"/>
        <v>0</v>
      </c>
      <c r="AB17" s="84">
        <f t="shared" si="4"/>
        <v>0</v>
      </c>
      <c r="AC17" s="114">
        <f t="shared" si="13"/>
        <v>3240</v>
      </c>
      <c r="AD17" s="70"/>
      <c r="AE17" s="74"/>
      <c r="AF17" s="79"/>
      <c r="AG17" s="149"/>
      <c r="AH17" s="84"/>
      <c r="AI17" s="114">
        <f t="shared" si="14"/>
        <v>0</v>
      </c>
      <c r="AJ17" s="117"/>
      <c r="AK17" s="117"/>
      <c r="AL17" s="107"/>
      <c r="AM17" s="118"/>
      <c r="AN17" s="118"/>
      <c r="AO17" s="118"/>
    </row>
    <row r="18" spans="2:41" ht="15.6" customHeight="1" x14ac:dyDescent="0.2">
      <c r="B18" s="100">
        <v>11090</v>
      </c>
      <c r="C18" s="101" t="s">
        <v>36</v>
      </c>
      <c r="D18" s="98">
        <f>'Monthly Material Planning'!$D$14</f>
        <v>12.7</v>
      </c>
      <c r="E18" s="98">
        <f>'Cumulative Material Use'!$E$9</f>
        <v>3.56E-2</v>
      </c>
      <c r="F18" s="98">
        <f>'Cumulative Material Use'!$E$14</f>
        <v>7.2139999999999996E-2</v>
      </c>
      <c r="G18" s="98">
        <f>'Cumulative Material Use'!$E$23</f>
        <v>1.154E-2</v>
      </c>
      <c r="H18" s="98">
        <f>'Cumulative Material Use'!$E$40</f>
        <v>1.154E-2</v>
      </c>
      <c r="I18" s="98">
        <f>'Cumulative Material Use'!$E$30</f>
        <v>0.40644999999999998</v>
      </c>
      <c r="J18" s="84"/>
      <c r="K18" s="124">
        <f t="shared" si="5"/>
        <v>356</v>
      </c>
      <c r="L18" s="125">
        <f t="shared" si="6"/>
        <v>2250.768</v>
      </c>
      <c r="M18" s="126">
        <f t="shared" si="7"/>
        <v>0</v>
      </c>
      <c r="N18" s="149">
        <f t="shared" si="8"/>
        <v>121.17</v>
      </c>
      <c r="O18" s="129">
        <f t="shared" si="15"/>
        <v>0</v>
      </c>
      <c r="P18" s="127">
        <f t="shared" si="10"/>
        <v>2727.9380000000001</v>
      </c>
      <c r="Q18" s="115">
        <v>12358.52</v>
      </c>
      <c r="R18" s="127">
        <f t="shared" si="11"/>
        <v>-9630.5820000000003</v>
      </c>
      <c r="S18" s="127">
        <f t="shared" si="12"/>
        <v>-758.31354330708666</v>
      </c>
      <c r="T18" s="127"/>
      <c r="U18" s="127"/>
      <c r="V18" s="98"/>
      <c r="W18" s="98"/>
      <c r="X18" s="70">
        <f t="shared" si="0"/>
        <v>106.8</v>
      </c>
      <c r="Y18" s="74">
        <f t="shared" si="1"/>
        <v>0</v>
      </c>
      <c r="Z18" s="79">
        <f t="shared" si="2"/>
        <v>0</v>
      </c>
      <c r="AA18" s="149">
        <f t="shared" si="3"/>
        <v>0</v>
      </c>
      <c r="AB18" s="84">
        <f t="shared" si="4"/>
        <v>0</v>
      </c>
      <c r="AC18" s="114">
        <f t="shared" si="13"/>
        <v>106.8</v>
      </c>
      <c r="AD18" s="70"/>
      <c r="AE18" s="74"/>
      <c r="AF18" s="79"/>
      <c r="AG18" s="149"/>
      <c r="AH18" s="84"/>
      <c r="AI18" s="114">
        <f t="shared" si="14"/>
        <v>0</v>
      </c>
      <c r="AJ18" s="117"/>
      <c r="AK18" s="117"/>
      <c r="AL18" s="107"/>
      <c r="AM18" s="118"/>
      <c r="AN18" s="118"/>
      <c r="AO18" s="118"/>
    </row>
    <row r="19" spans="2:41" ht="15.6" customHeight="1" x14ac:dyDescent="0.2">
      <c r="B19" s="98">
        <v>10073</v>
      </c>
      <c r="C19" s="99" t="s">
        <v>37</v>
      </c>
      <c r="D19" s="98">
        <f>'Monthly Material Planning'!$D$15</f>
        <v>0</v>
      </c>
      <c r="E19" s="98">
        <f>'Cumulative Material Use'!$E$10</f>
        <v>0.11</v>
      </c>
      <c r="F19" s="98"/>
      <c r="G19" s="98"/>
      <c r="H19" s="98">
        <f>'Cumulative Material Use'!$E$41</f>
        <v>0.11</v>
      </c>
      <c r="I19" s="98"/>
      <c r="J19" s="84"/>
      <c r="K19" s="124">
        <f t="shared" si="5"/>
        <v>1100</v>
      </c>
      <c r="L19" s="125">
        <f t="shared" si="6"/>
        <v>0</v>
      </c>
      <c r="M19" s="126">
        <f t="shared" si="7"/>
        <v>0</v>
      </c>
      <c r="N19" s="149">
        <f t="shared" si="8"/>
        <v>1155</v>
      </c>
      <c r="O19" s="129">
        <f t="shared" si="15"/>
        <v>0</v>
      </c>
      <c r="P19" s="127">
        <f t="shared" si="10"/>
        <v>2255</v>
      </c>
      <c r="Q19" s="115"/>
      <c r="R19" s="127">
        <f t="shared" si="11"/>
        <v>2255</v>
      </c>
      <c r="S19" s="127" t="e">
        <f t="shared" si="12"/>
        <v>#DIV/0!</v>
      </c>
      <c r="T19" s="127"/>
      <c r="U19" s="127"/>
      <c r="V19" s="98"/>
      <c r="W19" s="98"/>
      <c r="X19" s="70">
        <f t="shared" si="0"/>
        <v>330</v>
      </c>
      <c r="Y19" s="74">
        <f t="shared" si="1"/>
        <v>0</v>
      </c>
      <c r="Z19" s="79">
        <f t="shared" si="2"/>
        <v>0</v>
      </c>
      <c r="AA19" s="149">
        <f t="shared" si="3"/>
        <v>0</v>
      </c>
      <c r="AB19" s="84">
        <f t="shared" si="4"/>
        <v>0</v>
      </c>
      <c r="AC19" s="114">
        <f t="shared" si="13"/>
        <v>330</v>
      </c>
      <c r="AD19" s="70"/>
      <c r="AE19" s="74"/>
      <c r="AF19" s="79"/>
      <c r="AG19" s="149"/>
      <c r="AH19" s="84"/>
      <c r="AI19" s="114">
        <f t="shared" si="14"/>
        <v>0</v>
      </c>
      <c r="AJ19" s="117"/>
      <c r="AK19" s="117"/>
      <c r="AL19" s="107"/>
      <c r="AM19" s="118"/>
      <c r="AN19" s="118"/>
      <c r="AO19" s="118"/>
    </row>
    <row r="20" spans="2:41" ht="15.6" customHeight="1" x14ac:dyDescent="0.2">
      <c r="B20" s="98">
        <v>10970</v>
      </c>
      <c r="C20" s="99" t="s">
        <v>38</v>
      </c>
      <c r="D20" s="98">
        <f>'Monthly Material Planning'!$D$16</f>
        <v>13.6</v>
      </c>
      <c r="E20" s="98"/>
      <c r="F20" s="98">
        <f>'Cumulative Material Use'!$E$12</f>
        <v>0.4103</v>
      </c>
      <c r="G20" s="98"/>
      <c r="H20" s="98"/>
      <c r="I20" s="98"/>
      <c r="J20" s="84"/>
      <c r="K20" s="124">
        <f t="shared" si="5"/>
        <v>0</v>
      </c>
      <c r="L20" s="125">
        <f t="shared" si="6"/>
        <v>12801.36</v>
      </c>
      <c r="M20" s="126">
        <f t="shared" si="7"/>
        <v>0</v>
      </c>
      <c r="N20" s="149">
        <f t="shared" si="8"/>
        <v>0</v>
      </c>
      <c r="O20" s="129">
        <f t="shared" si="15"/>
        <v>0</v>
      </c>
      <c r="P20" s="127">
        <f t="shared" si="10"/>
        <v>12801.36</v>
      </c>
      <c r="Q20" s="115">
        <v>15172.558000000001</v>
      </c>
      <c r="R20" s="127">
        <f t="shared" si="11"/>
        <v>-2371.1980000000003</v>
      </c>
      <c r="S20" s="127">
        <f t="shared" si="12"/>
        <v>-174.35279411764708</v>
      </c>
      <c r="T20" s="127"/>
      <c r="U20" s="127"/>
      <c r="V20" s="98"/>
      <c r="W20" s="98"/>
      <c r="X20" s="70">
        <f t="shared" si="0"/>
        <v>0</v>
      </c>
      <c r="Y20" s="74">
        <f t="shared" si="1"/>
        <v>0</v>
      </c>
      <c r="Z20" s="79">
        <f t="shared" si="2"/>
        <v>0</v>
      </c>
      <c r="AA20" s="149">
        <f t="shared" si="3"/>
        <v>0</v>
      </c>
      <c r="AB20" s="84">
        <f t="shared" si="4"/>
        <v>0</v>
      </c>
      <c r="AC20" s="114">
        <f t="shared" si="13"/>
        <v>0</v>
      </c>
      <c r="AD20" s="70"/>
      <c r="AE20" s="74"/>
      <c r="AF20" s="79"/>
      <c r="AG20" s="149"/>
      <c r="AH20" s="84"/>
      <c r="AI20" s="114">
        <f t="shared" si="14"/>
        <v>0</v>
      </c>
      <c r="AJ20" s="117"/>
      <c r="AK20" s="117"/>
      <c r="AL20" s="107"/>
      <c r="AM20" s="118"/>
      <c r="AN20" s="118"/>
      <c r="AO20" s="118"/>
    </row>
    <row r="21" spans="2:41" ht="15.6" customHeight="1" x14ac:dyDescent="0.2">
      <c r="B21" s="98" t="s">
        <v>39</v>
      </c>
      <c r="C21" s="196" t="s">
        <v>40</v>
      </c>
      <c r="D21" s="98">
        <f>'Monthly Material Planning'!$D$17</f>
        <v>10</v>
      </c>
      <c r="E21" s="98"/>
      <c r="F21" s="98">
        <f>'Cumulative Material Use'!$E$17</f>
        <v>0.55556000000000005</v>
      </c>
      <c r="G21" s="98"/>
      <c r="H21" s="98"/>
      <c r="I21" s="98"/>
      <c r="J21" s="84"/>
      <c r="K21" s="124">
        <f t="shared" si="5"/>
        <v>0</v>
      </c>
      <c r="L21" s="125">
        <f t="shared" si="6"/>
        <v>17333.472000000002</v>
      </c>
      <c r="M21" s="126">
        <f t="shared" si="7"/>
        <v>0</v>
      </c>
      <c r="N21" s="149">
        <f t="shared" si="8"/>
        <v>0</v>
      </c>
      <c r="O21" s="129">
        <f t="shared" si="15"/>
        <v>0</v>
      </c>
      <c r="P21" s="127">
        <f t="shared" si="10"/>
        <v>17333.472000000002</v>
      </c>
      <c r="Q21" s="115">
        <v>15912.22</v>
      </c>
      <c r="R21" s="127">
        <f t="shared" si="11"/>
        <v>1421.2520000000022</v>
      </c>
      <c r="S21" s="127">
        <f t="shared" si="12"/>
        <v>142.12520000000023</v>
      </c>
      <c r="T21" s="127"/>
      <c r="U21" s="127"/>
      <c r="V21" s="98"/>
      <c r="W21" s="98"/>
      <c r="X21" s="70">
        <f t="shared" si="0"/>
        <v>0</v>
      </c>
      <c r="Y21" s="74">
        <f t="shared" si="1"/>
        <v>0</v>
      </c>
      <c r="Z21" s="79">
        <f t="shared" si="2"/>
        <v>0</v>
      </c>
      <c r="AA21" s="149">
        <f t="shared" si="3"/>
        <v>0</v>
      </c>
      <c r="AB21" s="84">
        <f t="shared" si="4"/>
        <v>0</v>
      </c>
      <c r="AC21" s="114">
        <f t="shared" si="13"/>
        <v>0</v>
      </c>
      <c r="AD21" s="70"/>
      <c r="AE21" s="74"/>
      <c r="AF21" s="79"/>
      <c r="AG21" s="149"/>
      <c r="AH21" s="84"/>
      <c r="AI21" s="114">
        <f t="shared" si="14"/>
        <v>0</v>
      </c>
      <c r="AJ21" s="117"/>
      <c r="AK21" s="117"/>
      <c r="AL21" s="107"/>
      <c r="AM21" s="118"/>
      <c r="AN21" s="118"/>
      <c r="AO21" s="118"/>
    </row>
    <row r="22" spans="2:41" ht="11.4" x14ac:dyDescent="0.2">
      <c r="B22" s="100">
        <v>11442</v>
      </c>
      <c r="C22" s="102" t="s">
        <v>41</v>
      </c>
      <c r="D22" s="98">
        <f>'Monthly Material Planning'!$D$18</f>
        <v>17.7</v>
      </c>
      <c r="E22" s="98"/>
      <c r="F22" s="98">
        <f>'Cumulative Material Use'!$E$18</f>
        <v>7.4340000000000003E-2</v>
      </c>
      <c r="G22" s="98">
        <f>'Cumulative Material Use'!$E$21</f>
        <v>7.4340000000000003E-2</v>
      </c>
      <c r="H22" s="98"/>
      <c r="I22" s="98"/>
      <c r="J22" s="84"/>
      <c r="K22" s="124">
        <f t="shared" si="5"/>
        <v>0</v>
      </c>
      <c r="L22" s="125">
        <f t="shared" si="6"/>
        <v>2319.4079999999999</v>
      </c>
      <c r="M22" s="126">
        <f t="shared" si="7"/>
        <v>0</v>
      </c>
      <c r="N22" s="149">
        <f t="shared" si="8"/>
        <v>0</v>
      </c>
      <c r="O22" s="129">
        <f t="shared" si="15"/>
        <v>0</v>
      </c>
      <c r="P22" s="127">
        <f t="shared" si="10"/>
        <v>2319.4079999999999</v>
      </c>
      <c r="Q22" s="115">
        <v>5442.19</v>
      </c>
      <c r="R22" s="127">
        <f t="shared" si="11"/>
        <v>-3122.7819999999997</v>
      </c>
      <c r="S22" s="127">
        <f t="shared" si="12"/>
        <v>-176.42836158192088</v>
      </c>
      <c r="T22" s="127"/>
      <c r="U22" s="127"/>
      <c r="V22" s="98"/>
      <c r="W22" s="98"/>
      <c r="X22" s="70">
        <f t="shared" si="0"/>
        <v>0</v>
      </c>
      <c r="Y22" s="74">
        <f t="shared" si="1"/>
        <v>0</v>
      </c>
      <c r="Z22" s="79">
        <f t="shared" si="2"/>
        <v>0</v>
      </c>
      <c r="AA22" s="149">
        <f t="shared" si="3"/>
        <v>0</v>
      </c>
      <c r="AB22" s="84">
        <f t="shared" si="4"/>
        <v>0</v>
      </c>
      <c r="AC22" s="114">
        <f t="shared" si="13"/>
        <v>0</v>
      </c>
      <c r="AD22" s="70"/>
      <c r="AE22" s="74"/>
      <c r="AF22" s="79"/>
      <c r="AG22" s="149"/>
      <c r="AH22" s="84"/>
      <c r="AI22" s="114">
        <f t="shared" si="14"/>
        <v>0</v>
      </c>
      <c r="AJ22" s="117"/>
      <c r="AK22" s="117"/>
      <c r="AL22" s="107"/>
      <c r="AM22" s="118"/>
      <c r="AN22" s="118"/>
      <c r="AO22" s="118"/>
    </row>
    <row r="23" spans="2:41" ht="15.6" customHeight="1" x14ac:dyDescent="0.2">
      <c r="B23" s="98">
        <v>11515</v>
      </c>
      <c r="C23" s="99" t="s">
        <v>42</v>
      </c>
      <c r="D23" s="98">
        <f>'Monthly Material Planning'!$D$19</f>
        <v>9.16</v>
      </c>
      <c r="E23" s="98"/>
      <c r="F23" s="98"/>
      <c r="G23" s="98">
        <f>'Cumulative Material Use'!$E$19</f>
        <v>0.71702999999999995</v>
      </c>
      <c r="H23" s="98"/>
      <c r="I23" s="98"/>
      <c r="J23" s="84"/>
      <c r="K23" s="124">
        <f t="shared" si="5"/>
        <v>0</v>
      </c>
      <c r="L23" s="125">
        <f t="shared" si="6"/>
        <v>0</v>
      </c>
      <c r="M23" s="126">
        <f t="shared" si="7"/>
        <v>0</v>
      </c>
      <c r="N23" s="149">
        <f t="shared" si="8"/>
        <v>0</v>
      </c>
      <c r="O23" s="129">
        <f t="shared" si="15"/>
        <v>0</v>
      </c>
      <c r="P23" s="127">
        <f t="shared" si="10"/>
        <v>0</v>
      </c>
      <c r="Q23" s="115">
        <v>1358</v>
      </c>
      <c r="R23" s="127">
        <f t="shared" si="11"/>
        <v>-1358</v>
      </c>
      <c r="S23" s="127">
        <f t="shared" si="12"/>
        <v>-148.25327510917032</v>
      </c>
      <c r="T23" s="127"/>
      <c r="U23" s="127"/>
      <c r="V23" s="98"/>
      <c r="W23" s="98"/>
      <c r="X23" s="70">
        <f t="shared" si="0"/>
        <v>0</v>
      </c>
      <c r="Y23" s="74">
        <f t="shared" si="1"/>
        <v>0</v>
      </c>
      <c r="Z23" s="79">
        <f t="shared" si="2"/>
        <v>0</v>
      </c>
      <c r="AA23" s="149">
        <f t="shared" si="3"/>
        <v>0</v>
      </c>
      <c r="AB23" s="84">
        <f t="shared" si="4"/>
        <v>0</v>
      </c>
      <c r="AC23" s="114">
        <f t="shared" si="13"/>
        <v>0</v>
      </c>
      <c r="AD23" s="70"/>
      <c r="AE23" s="74"/>
      <c r="AF23" s="79"/>
      <c r="AG23" s="149"/>
      <c r="AH23" s="84"/>
      <c r="AI23" s="114">
        <f t="shared" si="14"/>
        <v>0</v>
      </c>
      <c r="AJ23" s="117"/>
      <c r="AK23" s="117"/>
      <c r="AL23" s="107"/>
      <c r="AM23" s="118"/>
      <c r="AN23" s="118"/>
      <c r="AO23" s="118"/>
    </row>
    <row r="24" spans="2:41" ht="15.6" customHeight="1" x14ac:dyDescent="0.2">
      <c r="B24" s="98" t="s">
        <v>43</v>
      </c>
      <c r="C24" s="99" t="s">
        <v>44</v>
      </c>
      <c r="D24" s="98">
        <f>'Monthly Material Planning'!$D$20</f>
        <v>3.55</v>
      </c>
      <c r="E24" s="98"/>
      <c r="F24" s="98"/>
      <c r="G24" s="98">
        <f>'Cumulative Material Use'!$E$22</f>
        <v>0.1961</v>
      </c>
      <c r="H24" s="98"/>
      <c r="I24" s="98"/>
      <c r="J24" s="84"/>
      <c r="K24" s="124">
        <f t="shared" si="5"/>
        <v>0</v>
      </c>
      <c r="L24" s="125">
        <f t="shared" si="6"/>
        <v>0</v>
      </c>
      <c r="M24" s="126">
        <f t="shared" si="7"/>
        <v>0</v>
      </c>
      <c r="N24" s="149">
        <f t="shared" si="8"/>
        <v>0</v>
      </c>
      <c r="O24" s="129">
        <f t="shared" si="15"/>
        <v>0</v>
      </c>
      <c r="P24" s="127">
        <f t="shared" si="10"/>
        <v>0</v>
      </c>
      <c r="Q24" s="115">
        <v>1623</v>
      </c>
      <c r="R24" s="127">
        <f t="shared" si="11"/>
        <v>-1623</v>
      </c>
      <c r="S24" s="127">
        <f t="shared" si="12"/>
        <v>-457.18309859154931</v>
      </c>
      <c r="T24" s="127"/>
      <c r="U24" s="127"/>
      <c r="V24" s="98"/>
      <c r="W24" s="98"/>
      <c r="X24" s="70">
        <f t="shared" si="0"/>
        <v>0</v>
      </c>
      <c r="Y24" s="74">
        <f t="shared" si="1"/>
        <v>0</v>
      </c>
      <c r="Z24" s="79">
        <f t="shared" si="2"/>
        <v>0</v>
      </c>
      <c r="AA24" s="149">
        <f t="shared" si="3"/>
        <v>0</v>
      </c>
      <c r="AB24" s="84">
        <f t="shared" si="4"/>
        <v>0</v>
      </c>
      <c r="AC24" s="114">
        <f t="shared" si="13"/>
        <v>0</v>
      </c>
      <c r="AD24" s="70"/>
      <c r="AE24" s="74"/>
      <c r="AF24" s="79"/>
      <c r="AG24" s="149"/>
      <c r="AH24" s="84"/>
      <c r="AI24" s="114">
        <f t="shared" si="14"/>
        <v>0</v>
      </c>
      <c r="AJ24" s="117"/>
      <c r="AK24" s="117"/>
      <c r="AL24" s="107"/>
      <c r="AM24" s="118"/>
      <c r="AN24" s="118"/>
      <c r="AO24" s="118"/>
    </row>
    <row r="25" spans="2:41" ht="15.6" customHeight="1" x14ac:dyDescent="0.2">
      <c r="B25" s="98" t="s">
        <v>45</v>
      </c>
      <c r="C25" s="99" t="s">
        <v>46</v>
      </c>
      <c r="D25" s="98">
        <f>'Monthly Material Planning'!$D$21</f>
        <v>29.8</v>
      </c>
      <c r="E25" s="98"/>
      <c r="F25" s="98"/>
      <c r="G25" s="98">
        <f>'Cumulative Material Use'!$E$25</f>
        <v>0.44950000000000001</v>
      </c>
      <c r="H25" s="98"/>
      <c r="I25" s="98">
        <f>'Cumulative Material Use'!$E$32</f>
        <v>2.6599999999999999E-2</v>
      </c>
      <c r="J25" s="84"/>
      <c r="K25" s="124">
        <f t="shared" si="5"/>
        <v>0</v>
      </c>
      <c r="L25" s="125">
        <f t="shared" si="6"/>
        <v>0</v>
      </c>
      <c r="M25" s="126">
        <f t="shared" si="7"/>
        <v>0</v>
      </c>
      <c r="N25" s="149">
        <f t="shared" si="8"/>
        <v>0</v>
      </c>
      <c r="O25" s="129">
        <f t="shared" si="15"/>
        <v>0</v>
      </c>
      <c r="P25" s="127">
        <f t="shared" si="10"/>
        <v>0</v>
      </c>
      <c r="Q25" s="115">
        <v>1794</v>
      </c>
      <c r="R25" s="127">
        <f t="shared" si="11"/>
        <v>-1794</v>
      </c>
      <c r="S25" s="127">
        <f t="shared" si="12"/>
        <v>-60.201342281879192</v>
      </c>
      <c r="T25" s="127"/>
      <c r="U25" s="127"/>
      <c r="V25" s="98"/>
      <c r="W25" s="98"/>
      <c r="X25" s="70">
        <f t="shared" si="0"/>
        <v>0</v>
      </c>
      <c r="Y25" s="74">
        <f t="shared" si="1"/>
        <v>0</v>
      </c>
      <c r="Z25" s="79">
        <f t="shared" si="2"/>
        <v>0</v>
      </c>
      <c r="AA25" s="149">
        <f t="shared" si="3"/>
        <v>0</v>
      </c>
      <c r="AB25" s="84">
        <f t="shared" si="4"/>
        <v>0</v>
      </c>
      <c r="AC25" s="114">
        <f t="shared" si="13"/>
        <v>0</v>
      </c>
      <c r="AD25" s="70"/>
      <c r="AE25" s="74"/>
      <c r="AF25" s="79"/>
      <c r="AG25" s="149"/>
      <c r="AH25" s="84"/>
      <c r="AI25" s="114">
        <f t="shared" si="14"/>
        <v>0</v>
      </c>
      <c r="AJ25" s="117"/>
      <c r="AK25" s="117"/>
      <c r="AL25" s="107"/>
      <c r="AM25" s="118"/>
      <c r="AN25" s="118"/>
      <c r="AO25" s="118"/>
    </row>
    <row r="26" spans="2:41" ht="15.6" customHeight="1" x14ac:dyDescent="0.2">
      <c r="B26" s="98">
        <v>11226</v>
      </c>
      <c r="C26" s="99" t="s">
        <v>47</v>
      </c>
      <c r="D26" s="98">
        <f>'Monthly Material Planning'!$D$22</f>
        <v>27.3</v>
      </c>
      <c r="E26" s="98"/>
      <c r="F26" s="98"/>
      <c r="G26" s="98">
        <f>'Cumulative Material Use'!$E$27</f>
        <v>0.47900999999999999</v>
      </c>
      <c r="H26" s="98"/>
      <c r="I26" s="98"/>
      <c r="J26" s="84"/>
      <c r="K26" s="124">
        <f t="shared" si="5"/>
        <v>0</v>
      </c>
      <c r="L26" s="125">
        <f t="shared" si="6"/>
        <v>0</v>
      </c>
      <c r="M26" s="126">
        <f t="shared" si="7"/>
        <v>0</v>
      </c>
      <c r="N26" s="149">
        <f t="shared" si="8"/>
        <v>0</v>
      </c>
      <c r="O26" s="129">
        <f t="shared" si="15"/>
        <v>0</v>
      </c>
      <c r="P26" s="127">
        <f t="shared" si="10"/>
        <v>0</v>
      </c>
      <c r="Q26" s="115">
        <v>251.64</v>
      </c>
      <c r="R26" s="127">
        <f t="shared" si="11"/>
        <v>-251.64</v>
      </c>
      <c r="S26" s="127">
        <f t="shared" si="12"/>
        <v>-9.2175824175824168</v>
      </c>
      <c r="T26" s="127"/>
      <c r="U26" s="127"/>
      <c r="V26" s="98"/>
      <c r="W26" s="98"/>
      <c r="X26" s="70">
        <f t="shared" si="0"/>
        <v>0</v>
      </c>
      <c r="Y26" s="74">
        <f t="shared" si="1"/>
        <v>0</v>
      </c>
      <c r="Z26" s="79">
        <f t="shared" si="2"/>
        <v>0</v>
      </c>
      <c r="AA26" s="149">
        <f t="shared" si="3"/>
        <v>0</v>
      </c>
      <c r="AB26" s="84">
        <f t="shared" si="4"/>
        <v>0</v>
      </c>
      <c r="AC26" s="114">
        <f t="shared" si="13"/>
        <v>0</v>
      </c>
      <c r="AD26" s="70"/>
      <c r="AE26" s="74"/>
      <c r="AF26" s="79"/>
      <c r="AG26" s="149"/>
      <c r="AH26" s="84"/>
      <c r="AI26" s="114">
        <f t="shared" si="14"/>
        <v>0</v>
      </c>
      <c r="AJ26" s="117"/>
      <c r="AK26" s="117"/>
      <c r="AL26" s="107"/>
      <c r="AM26" s="118"/>
      <c r="AN26" s="118"/>
      <c r="AO26" s="118"/>
    </row>
    <row r="27" spans="2:41" ht="15.6" customHeight="1" x14ac:dyDescent="0.2">
      <c r="B27" s="98">
        <v>10074</v>
      </c>
      <c r="C27" s="99" t="s">
        <v>48</v>
      </c>
      <c r="D27" s="98">
        <f>'Monthly Material Planning'!$D$23</f>
        <v>19</v>
      </c>
      <c r="E27" s="98"/>
      <c r="F27" s="98"/>
      <c r="G27" s="98"/>
      <c r="H27" s="98">
        <f>'Cumulative Material Use'!$E$37</f>
        <v>7.92E-3</v>
      </c>
      <c r="I27" s="98"/>
      <c r="J27" s="84"/>
      <c r="K27" s="124"/>
      <c r="L27" s="125"/>
      <c r="M27" s="126"/>
      <c r="N27" s="149">
        <f t="shared" si="8"/>
        <v>83.16</v>
      </c>
      <c r="O27" s="129"/>
      <c r="P27" s="127"/>
      <c r="Q27" s="115">
        <v>395.76</v>
      </c>
      <c r="R27" s="127"/>
      <c r="S27" s="127">
        <f t="shared" si="12"/>
        <v>0</v>
      </c>
      <c r="T27" s="127"/>
      <c r="U27" s="127"/>
      <c r="V27" s="98"/>
      <c r="W27" s="98"/>
      <c r="X27" s="70"/>
      <c r="Y27" s="74"/>
      <c r="Z27" s="79"/>
      <c r="AA27" s="149">
        <f t="shared" si="3"/>
        <v>0</v>
      </c>
      <c r="AB27" s="84"/>
      <c r="AC27" s="114"/>
      <c r="AD27" s="70"/>
      <c r="AE27" s="74"/>
      <c r="AF27" s="79"/>
      <c r="AG27" s="149"/>
      <c r="AH27" s="84"/>
      <c r="AI27" s="114"/>
      <c r="AJ27" s="117"/>
      <c r="AK27" s="117"/>
      <c r="AL27" s="107"/>
      <c r="AM27" s="118"/>
      <c r="AN27" s="118"/>
      <c r="AO27" s="118"/>
    </row>
    <row r="28" spans="2:41" ht="15.6" customHeight="1" x14ac:dyDescent="0.2">
      <c r="B28" s="98">
        <v>11291</v>
      </c>
      <c r="C28" s="99" t="s">
        <v>49</v>
      </c>
      <c r="D28" s="98">
        <f>'Monthly Material Planning'!$D$24</f>
        <v>0.2379</v>
      </c>
      <c r="E28" s="98"/>
      <c r="F28" s="98"/>
      <c r="G28" s="98">
        <f>'Cumulative Material Use'!$E$28</f>
        <v>8.0399999999999999E-2</v>
      </c>
      <c r="H28" s="98"/>
      <c r="I28" s="98"/>
      <c r="J28" s="84"/>
      <c r="K28" s="124">
        <f t="shared" si="5"/>
        <v>0</v>
      </c>
      <c r="L28" s="125">
        <f t="shared" si="6"/>
        <v>0</v>
      </c>
      <c r="M28" s="126">
        <f t="shared" si="7"/>
        <v>0</v>
      </c>
      <c r="N28" s="149">
        <f t="shared" si="8"/>
        <v>0</v>
      </c>
      <c r="O28" s="129">
        <f t="shared" si="15"/>
        <v>0</v>
      </c>
      <c r="P28" s="127">
        <f t="shared" si="10"/>
        <v>0</v>
      </c>
      <c r="Q28" s="115"/>
      <c r="R28" s="127">
        <f t="shared" si="11"/>
        <v>0</v>
      </c>
      <c r="S28" s="127">
        <f t="shared" si="12"/>
        <v>0</v>
      </c>
      <c r="T28" s="127"/>
      <c r="U28" s="127"/>
      <c r="V28" s="98"/>
      <c r="W28" s="98"/>
      <c r="X28" s="70">
        <f>E28*$AD$4</f>
        <v>0</v>
      </c>
      <c r="Y28" s="74">
        <f>F28*$AE$4</f>
        <v>0</v>
      </c>
      <c r="Z28" s="79">
        <f>G28*$AF$4</f>
        <v>0</v>
      </c>
      <c r="AA28" s="149">
        <f t="shared" si="3"/>
        <v>0</v>
      </c>
      <c r="AB28" s="84">
        <f>I28*$AH$4</f>
        <v>0</v>
      </c>
      <c r="AC28" s="114">
        <f t="shared" si="13"/>
        <v>0</v>
      </c>
      <c r="AD28" s="70"/>
      <c r="AE28" s="74"/>
      <c r="AF28" s="79"/>
      <c r="AG28" s="149"/>
      <c r="AH28" s="84"/>
      <c r="AI28" s="114">
        <f t="shared" si="14"/>
        <v>0</v>
      </c>
      <c r="AJ28" s="117"/>
      <c r="AK28" s="117"/>
      <c r="AL28" s="107"/>
      <c r="AM28" s="118"/>
      <c r="AN28" s="118"/>
      <c r="AO28" s="118"/>
    </row>
    <row r="29" spans="2:41" ht="15.6" customHeight="1" x14ac:dyDescent="0.2">
      <c r="B29" s="98">
        <v>11290</v>
      </c>
      <c r="C29" s="99" t="s">
        <v>50</v>
      </c>
      <c r="D29" s="98">
        <f>'Monthly Material Planning'!$D$25</f>
        <v>0.1308</v>
      </c>
      <c r="E29" s="98"/>
      <c r="F29" s="98"/>
      <c r="G29" s="98">
        <f>'Cumulative Material Use'!$E$29</f>
        <v>5.5500000000000001E-2</v>
      </c>
      <c r="H29" s="98"/>
      <c r="I29" s="98"/>
      <c r="J29" s="84"/>
      <c r="K29" s="124">
        <f t="shared" si="5"/>
        <v>0</v>
      </c>
      <c r="L29" s="125">
        <f t="shared" si="6"/>
        <v>0</v>
      </c>
      <c r="M29" s="126">
        <f t="shared" si="7"/>
        <v>0</v>
      </c>
      <c r="N29" s="149">
        <f t="shared" si="8"/>
        <v>0</v>
      </c>
      <c r="O29" s="129">
        <f t="shared" si="15"/>
        <v>0</v>
      </c>
      <c r="P29" s="127">
        <f t="shared" si="10"/>
        <v>0</v>
      </c>
      <c r="Q29" s="115"/>
      <c r="R29" s="127">
        <f t="shared" si="11"/>
        <v>0</v>
      </c>
      <c r="S29" s="127">
        <f t="shared" si="12"/>
        <v>0</v>
      </c>
      <c r="T29" s="127"/>
      <c r="U29" s="127"/>
      <c r="V29" s="98"/>
      <c r="W29" s="98"/>
      <c r="X29" s="70">
        <f>E29*$AD$4</f>
        <v>0</v>
      </c>
      <c r="Y29" s="74">
        <f>F29*$AE$4</f>
        <v>0</v>
      </c>
      <c r="Z29" s="79">
        <f>G29*$AF$4</f>
        <v>0</v>
      </c>
      <c r="AA29" s="149">
        <f t="shared" si="3"/>
        <v>0</v>
      </c>
      <c r="AB29" s="84">
        <f>I29*$AH$4</f>
        <v>0</v>
      </c>
      <c r="AC29" s="114">
        <f t="shared" si="13"/>
        <v>0</v>
      </c>
      <c r="AD29" s="70"/>
      <c r="AE29" s="74"/>
      <c r="AF29" s="79"/>
      <c r="AG29" s="149"/>
      <c r="AH29" s="84"/>
      <c r="AI29" s="114">
        <f t="shared" si="14"/>
        <v>0</v>
      </c>
      <c r="AJ29" s="117"/>
      <c r="AK29" s="117"/>
      <c r="AL29" s="107"/>
      <c r="AM29" s="118"/>
      <c r="AN29" s="118"/>
      <c r="AO29" s="118"/>
    </row>
    <row r="30" spans="2:41" ht="28.95" customHeight="1" x14ac:dyDescent="0.2"/>
    <row r="31" spans="2:41" ht="15.6" customHeight="1" x14ac:dyDescent="0.25">
      <c r="B31" s="223" t="s">
        <v>54</v>
      </c>
      <c r="C31" s="223"/>
      <c r="D31" s="223"/>
      <c r="E31" s="223"/>
      <c r="F31" s="223"/>
      <c r="G31" s="223"/>
      <c r="H31" s="223"/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Y31" s="223"/>
      <c r="Z31" s="223"/>
      <c r="AA31" s="223"/>
      <c r="AB31" s="223"/>
      <c r="AC31" s="223"/>
      <c r="AD31" s="223"/>
      <c r="AE31" s="223"/>
      <c r="AF31" s="223"/>
      <c r="AG31" s="223"/>
      <c r="AH31" s="223"/>
      <c r="AI31" s="223"/>
      <c r="AJ31" s="223"/>
      <c r="AK31" s="223"/>
      <c r="AL31" s="223"/>
      <c r="AM31" s="223"/>
      <c r="AN31" s="223"/>
      <c r="AO31" s="223"/>
    </row>
    <row r="32" spans="2:41" ht="21" customHeight="1" x14ac:dyDescent="0.2">
      <c r="B32" s="218" t="s">
        <v>7</v>
      </c>
      <c r="C32" s="220" t="s">
        <v>8</v>
      </c>
      <c r="D32" s="218" t="s">
        <v>9</v>
      </c>
      <c r="E32" s="222" t="s">
        <v>10</v>
      </c>
      <c r="F32" s="222"/>
      <c r="G32" s="222"/>
      <c r="H32" s="222"/>
      <c r="I32" s="222"/>
      <c r="J32" s="226"/>
      <c r="K32" s="214" t="s">
        <v>57</v>
      </c>
      <c r="L32" s="214"/>
      <c r="M32" s="214"/>
      <c r="N32" s="214"/>
      <c r="O32" s="214"/>
      <c r="P32" s="214"/>
      <c r="Q32" s="204" t="s">
        <v>12</v>
      </c>
      <c r="R32" s="215" t="s">
        <v>13</v>
      </c>
      <c r="S32" s="215" t="s">
        <v>14</v>
      </c>
      <c r="T32" s="215" t="s">
        <v>58</v>
      </c>
      <c r="U32" s="215" t="s">
        <v>59</v>
      </c>
      <c r="V32" s="207" t="s">
        <v>15</v>
      </c>
      <c r="W32" s="208"/>
      <c r="X32" s="217" t="s">
        <v>60</v>
      </c>
      <c r="Y32" s="217"/>
      <c r="Z32" s="217"/>
      <c r="AA32" s="217"/>
      <c r="AB32" s="217"/>
      <c r="AC32" s="217"/>
      <c r="AD32" s="206" t="s">
        <v>64</v>
      </c>
      <c r="AE32" s="206"/>
      <c r="AF32" s="206"/>
      <c r="AG32" s="206"/>
      <c r="AH32" s="206"/>
      <c r="AI32" s="206"/>
      <c r="AJ32" s="207" t="s">
        <v>18</v>
      </c>
      <c r="AK32" s="208"/>
      <c r="AL32" s="209" t="s">
        <v>19</v>
      </c>
      <c r="AM32" s="224" t="s">
        <v>62</v>
      </c>
      <c r="AN32" s="224" t="s">
        <v>63</v>
      </c>
      <c r="AO32" s="204" t="s">
        <v>21</v>
      </c>
    </row>
    <row r="33" spans="2:41" ht="19.2" customHeight="1" x14ac:dyDescent="0.2">
      <c r="B33" s="219"/>
      <c r="C33" s="221"/>
      <c r="D33" s="219"/>
      <c r="E33" s="108" t="s">
        <v>2</v>
      </c>
      <c r="F33" s="109" t="s">
        <v>22</v>
      </c>
      <c r="G33" s="110" t="s">
        <v>23</v>
      </c>
      <c r="H33" s="148" t="s">
        <v>5</v>
      </c>
      <c r="I33" s="111" t="s">
        <v>24</v>
      </c>
      <c r="J33" s="227"/>
      <c r="K33" s="108" t="s">
        <v>2</v>
      </c>
      <c r="L33" s="109" t="s">
        <v>22</v>
      </c>
      <c r="M33" s="110" t="s">
        <v>23</v>
      </c>
      <c r="N33" s="148" t="s">
        <v>5</v>
      </c>
      <c r="O33" s="111" t="s">
        <v>24</v>
      </c>
      <c r="P33" s="112" t="s">
        <v>25</v>
      </c>
      <c r="Q33" s="205"/>
      <c r="R33" s="216"/>
      <c r="S33" s="216"/>
      <c r="T33" s="216"/>
      <c r="U33" s="216"/>
      <c r="V33" s="113" t="s">
        <v>26</v>
      </c>
      <c r="W33" s="113" t="s">
        <v>27</v>
      </c>
      <c r="X33" s="108" t="s">
        <v>2</v>
      </c>
      <c r="Y33" s="109" t="s">
        <v>22</v>
      </c>
      <c r="Z33" s="110" t="s">
        <v>23</v>
      </c>
      <c r="AA33" s="148" t="s">
        <v>5</v>
      </c>
      <c r="AB33" s="111" t="s">
        <v>24</v>
      </c>
      <c r="AC33" s="112" t="s">
        <v>25</v>
      </c>
      <c r="AD33" s="108" t="s">
        <v>2</v>
      </c>
      <c r="AE33" s="109" t="s">
        <v>22</v>
      </c>
      <c r="AF33" s="110" t="s">
        <v>23</v>
      </c>
      <c r="AG33" s="148" t="s">
        <v>5</v>
      </c>
      <c r="AH33" s="111" t="s">
        <v>24</v>
      </c>
      <c r="AI33" s="112" t="s">
        <v>25</v>
      </c>
      <c r="AJ33" s="113" t="s">
        <v>27</v>
      </c>
      <c r="AK33" s="113" t="s">
        <v>26</v>
      </c>
      <c r="AL33" s="209"/>
      <c r="AM33" s="225"/>
      <c r="AN33" s="225"/>
      <c r="AO33" s="205"/>
    </row>
    <row r="34" spans="2:41" ht="15.6" customHeight="1" x14ac:dyDescent="0.2">
      <c r="B34" s="98">
        <v>11279</v>
      </c>
      <c r="C34" s="99" t="s">
        <v>28</v>
      </c>
      <c r="D34" s="98">
        <f>'Monthly Material Planning'!$D$8</f>
        <v>12.8</v>
      </c>
      <c r="E34" s="98">
        <f>'Cumulative Material Use'!$E$3</f>
        <v>0.96429999999999993</v>
      </c>
      <c r="F34" s="98">
        <f>'Cumulative Material Use'!$E$11</f>
        <v>0.2414</v>
      </c>
      <c r="G34" s="98">
        <f>'Cumulative Material Use'!$E$24</f>
        <v>0.50680000000000003</v>
      </c>
      <c r="H34" s="98">
        <f>'Cumulative Material Use'!$E$34</f>
        <v>0.96900000000000008</v>
      </c>
      <c r="I34" s="98"/>
      <c r="J34" s="84"/>
      <c r="K34" s="124">
        <f>E34*$K$5</f>
        <v>0</v>
      </c>
      <c r="L34" s="125">
        <f>F34*$L$5</f>
        <v>0</v>
      </c>
      <c r="M34" s="126">
        <f>G34*$M$5</f>
        <v>0</v>
      </c>
      <c r="N34" s="149">
        <f>H34*$N$5</f>
        <v>0</v>
      </c>
      <c r="O34" s="129">
        <f>I34*$O$5</f>
        <v>0</v>
      </c>
      <c r="P34" s="127">
        <f>SUM(K34:O34)</f>
        <v>0</v>
      </c>
      <c r="Q34" s="115"/>
      <c r="R34" s="127">
        <f>P34-Q34</f>
        <v>0</v>
      </c>
      <c r="S34" s="127">
        <f>R34/D34</f>
        <v>0</v>
      </c>
      <c r="T34" s="127"/>
      <c r="U34" s="127"/>
      <c r="V34" s="98"/>
      <c r="W34" s="98"/>
      <c r="X34" s="70">
        <f t="shared" ref="X34:X48" si="16">E34*$AD$5</f>
        <v>0</v>
      </c>
      <c r="Y34" s="74">
        <f t="shared" ref="Y34:Y48" si="17">F34*$AE$5</f>
        <v>0</v>
      </c>
      <c r="Z34" s="79">
        <f t="shared" ref="Z34:Z48" si="18">G34*$AF$5</f>
        <v>0</v>
      </c>
      <c r="AA34" s="149">
        <f t="shared" ref="AA34:AA51" si="19">H34*$AG$5</f>
        <v>0</v>
      </c>
      <c r="AB34" s="84">
        <f t="shared" ref="AB34:AB48" si="20">I34*$AH$5</f>
        <v>0</v>
      </c>
      <c r="AC34" s="114">
        <f>SUM(X34:AB34)</f>
        <v>0</v>
      </c>
      <c r="AD34" s="70"/>
      <c r="AE34" s="74"/>
      <c r="AF34" s="79"/>
      <c r="AG34" s="149"/>
      <c r="AH34" s="84"/>
      <c r="AI34" s="114">
        <f>SUM(AD34:AH34)</f>
        <v>0</v>
      </c>
      <c r="AJ34" s="116"/>
      <c r="AK34" s="117"/>
      <c r="AL34" s="107"/>
      <c r="AM34" s="118"/>
      <c r="AN34" s="118"/>
      <c r="AO34" s="118"/>
    </row>
    <row r="35" spans="2:41" ht="15.6" customHeight="1" x14ac:dyDescent="0.2">
      <c r="B35" s="98" t="s">
        <v>29</v>
      </c>
      <c r="C35" s="99" t="s">
        <v>30</v>
      </c>
      <c r="D35" s="98">
        <f>'Monthly Material Planning'!$D$9</f>
        <v>17</v>
      </c>
      <c r="E35" s="98">
        <f>'Cumulative Material Use'!$E$4</f>
        <v>0.2646</v>
      </c>
      <c r="F35" s="98"/>
      <c r="G35" s="98"/>
      <c r="H35" s="98">
        <f>'Cumulative Material Use'!$E$38</f>
        <v>6.3600000000000004E-2</v>
      </c>
      <c r="I35" s="98"/>
      <c r="J35" s="84"/>
      <c r="K35" s="124">
        <f t="shared" ref="K35:K51" si="21">E35*$K$5</f>
        <v>0</v>
      </c>
      <c r="L35" s="125">
        <f t="shared" ref="L35:L51" si="22">F35*$L$5</f>
        <v>0</v>
      </c>
      <c r="M35" s="126">
        <f t="shared" ref="M35:M51" si="23">G35*$M$5</f>
        <v>0</v>
      </c>
      <c r="N35" s="149">
        <f t="shared" ref="N35:N51" si="24">H35*$N$5</f>
        <v>0</v>
      </c>
      <c r="O35" s="129">
        <f t="shared" ref="O35:O51" si="25">I35*$O$5</f>
        <v>0</v>
      </c>
      <c r="P35" s="127">
        <f t="shared" ref="P35:P51" si="26">SUM(K35:O35)</f>
        <v>0</v>
      </c>
      <c r="Q35" s="115"/>
      <c r="R35" s="127">
        <f t="shared" ref="R35:R51" si="27">P35-Q35</f>
        <v>0</v>
      </c>
      <c r="S35" s="127">
        <f t="shared" ref="S35:S51" si="28">R35/D35</f>
        <v>0</v>
      </c>
      <c r="T35" s="127"/>
      <c r="U35" s="127"/>
      <c r="V35" s="98"/>
      <c r="W35" s="98"/>
      <c r="X35" s="70">
        <f t="shared" si="16"/>
        <v>0</v>
      </c>
      <c r="Y35" s="74">
        <f t="shared" si="17"/>
        <v>0</v>
      </c>
      <c r="Z35" s="79">
        <f t="shared" si="18"/>
        <v>0</v>
      </c>
      <c r="AA35" s="149">
        <f t="shared" si="19"/>
        <v>0</v>
      </c>
      <c r="AB35" s="84">
        <f t="shared" si="20"/>
        <v>0</v>
      </c>
      <c r="AC35" s="114">
        <f t="shared" ref="AC35:AC51" si="29">SUM(X35:AB35)</f>
        <v>0</v>
      </c>
      <c r="AD35" s="70"/>
      <c r="AE35" s="74"/>
      <c r="AF35" s="79"/>
      <c r="AG35" s="149"/>
      <c r="AH35" s="84"/>
      <c r="AI35" s="114">
        <f t="shared" ref="AI35:AI51" si="30">SUM(AD35:AH35)</f>
        <v>0</v>
      </c>
      <c r="AJ35" s="117"/>
      <c r="AK35" s="117"/>
      <c r="AL35" s="107"/>
      <c r="AM35" s="118"/>
      <c r="AN35" s="118"/>
      <c r="AO35" s="118"/>
    </row>
    <row r="36" spans="2:41" ht="15.6" customHeight="1" x14ac:dyDescent="0.2">
      <c r="B36" s="98">
        <v>10154</v>
      </c>
      <c r="C36" s="99" t="s">
        <v>31</v>
      </c>
      <c r="D36" s="98">
        <f>'Monthly Material Planning'!$D$10</f>
        <v>13.5</v>
      </c>
      <c r="E36" s="98">
        <f>'Cumulative Material Use'!$E$5</f>
        <v>5.3999999999999999E-2</v>
      </c>
      <c r="F36" s="98">
        <f>'Cumulative Material Use'!$E$13</f>
        <v>0.1646</v>
      </c>
      <c r="G36" s="98">
        <f>'Cumulative Material Use'!$E$20</f>
        <v>0.68471000000000004</v>
      </c>
      <c r="H36" s="98">
        <f>'Cumulative Material Use'!$E$35</f>
        <v>0.18989999999999999</v>
      </c>
      <c r="I36" s="98">
        <f>'Cumulative Material Use'!$E$31</f>
        <v>5.7600000000000005E-2</v>
      </c>
      <c r="J36" s="84"/>
      <c r="K36" s="124">
        <f t="shared" si="21"/>
        <v>0</v>
      </c>
      <c r="L36" s="125">
        <f t="shared" si="22"/>
        <v>0</v>
      </c>
      <c r="M36" s="126">
        <f t="shared" si="23"/>
        <v>0</v>
      </c>
      <c r="N36" s="149">
        <f t="shared" si="24"/>
        <v>0</v>
      </c>
      <c r="O36" s="129">
        <f t="shared" si="25"/>
        <v>0</v>
      </c>
      <c r="P36" s="127">
        <f t="shared" si="26"/>
        <v>0</v>
      </c>
      <c r="Q36" s="115"/>
      <c r="R36" s="127">
        <f t="shared" si="27"/>
        <v>0</v>
      </c>
      <c r="S36" s="127">
        <f t="shared" si="28"/>
        <v>0</v>
      </c>
      <c r="T36" s="127"/>
      <c r="U36" s="127"/>
      <c r="V36" s="98"/>
      <c r="W36" s="98"/>
      <c r="X36" s="70">
        <f t="shared" si="16"/>
        <v>0</v>
      </c>
      <c r="Y36" s="74">
        <f t="shared" si="17"/>
        <v>0</v>
      </c>
      <c r="Z36" s="79">
        <f t="shared" si="18"/>
        <v>0</v>
      </c>
      <c r="AA36" s="149">
        <f t="shared" si="19"/>
        <v>0</v>
      </c>
      <c r="AB36" s="84">
        <f t="shared" si="20"/>
        <v>0</v>
      </c>
      <c r="AC36" s="114">
        <f t="shared" si="29"/>
        <v>0</v>
      </c>
      <c r="AD36" s="70"/>
      <c r="AE36" s="74"/>
      <c r="AF36" s="79"/>
      <c r="AG36" s="149"/>
      <c r="AH36" s="84"/>
      <c r="AI36" s="114">
        <f t="shared" si="30"/>
        <v>0</v>
      </c>
      <c r="AJ36" s="117"/>
      <c r="AK36" s="117"/>
      <c r="AL36" s="107"/>
      <c r="AM36" s="118"/>
      <c r="AN36" s="118"/>
      <c r="AO36" s="118"/>
    </row>
    <row r="37" spans="2:41" ht="15.6" customHeight="1" x14ac:dyDescent="0.2">
      <c r="B37" s="98">
        <v>10155</v>
      </c>
      <c r="C37" s="99" t="s">
        <v>32</v>
      </c>
      <c r="D37" s="98">
        <f>'Monthly Material Planning'!$D$11</f>
        <v>18.100000000000001</v>
      </c>
      <c r="E37" s="98">
        <f>'Cumulative Material Use'!$E$6</f>
        <v>0.66821000000000008</v>
      </c>
      <c r="F37" s="98">
        <f>'Cumulative Material Use'!$E$15</f>
        <v>0.50700999999999996</v>
      </c>
      <c r="G37" s="98">
        <f>'Cumulative Material Use'!$E$26</f>
        <v>7.8899999999999998E-2</v>
      </c>
      <c r="H37" s="98">
        <f>'Cumulative Material Use'!$E$36</f>
        <v>0.4622</v>
      </c>
      <c r="I37" s="98"/>
      <c r="J37" s="84"/>
      <c r="K37" s="124">
        <f t="shared" si="21"/>
        <v>0</v>
      </c>
      <c r="L37" s="125">
        <f t="shared" si="22"/>
        <v>0</v>
      </c>
      <c r="M37" s="126">
        <f t="shared" si="23"/>
        <v>0</v>
      </c>
      <c r="N37" s="149">
        <f t="shared" si="24"/>
        <v>0</v>
      </c>
      <c r="O37" s="129">
        <f t="shared" si="25"/>
        <v>0</v>
      </c>
      <c r="P37" s="127">
        <f t="shared" si="26"/>
        <v>0</v>
      </c>
      <c r="Q37" s="115"/>
      <c r="R37" s="127">
        <f t="shared" si="27"/>
        <v>0</v>
      </c>
      <c r="S37" s="127">
        <f t="shared" si="28"/>
        <v>0</v>
      </c>
      <c r="T37" s="127"/>
      <c r="U37" s="127"/>
      <c r="V37" s="98"/>
      <c r="W37" s="98"/>
      <c r="X37" s="70">
        <f t="shared" si="16"/>
        <v>0</v>
      </c>
      <c r="Y37" s="74">
        <f t="shared" si="17"/>
        <v>0</v>
      </c>
      <c r="Z37" s="79">
        <f t="shared" si="18"/>
        <v>0</v>
      </c>
      <c r="AA37" s="149">
        <f t="shared" si="19"/>
        <v>0</v>
      </c>
      <c r="AB37" s="84">
        <f t="shared" si="20"/>
        <v>0</v>
      </c>
      <c r="AC37" s="114">
        <f t="shared" si="29"/>
        <v>0</v>
      </c>
      <c r="AD37" s="70"/>
      <c r="AE37" s="74"/>
      <c r="AF37" s="79"/>
      <c r="AG37" s="149"/>
      <c r="AH37" s="84"/>
      <c r="AI37" s="114">
        <f t="shared" si="30"/>
        <v>0</v>
      </c>
      <c r="AJ37" s="117"/>
      <c r="AK37" s="117"/>
      <c r="AL37" s="107"/>
      <c r="AM37" s="118"/>
      <c r="AN37" s="118"/>
      <c r="AO37" s="118"/>
    </row>
    <row r="38" spans="2:41" ht="15.6" customHeight="1" x14ac:dyDescent="0.2">
      <c r="B38" s="98">
        <v>11332</v>
      </c>
      <c r="C38" s="99" t="s">
        <v>33</v>
      </c>
      <c r="D38" s="98">
        <f>'Monthly Material Planning'!$D$12</f>
        <v>31.7</v>
      </c>
      <c r="E38" s="98">
        <f>'Cumulative Material Use'!$E$7</f>
        <v>0.51670000000000005</v>
      </c>
      <c r="F38" s="98">
        <f>'Cumulative Material Use'!$E$16</f>
        <v>0.52669999999999995</v>
      </c>
      <c r="G38" s="98"/>
      <c r="H38" s="98">
        <f>'Cumulative Material Use'!$E$42</f>
        <v>0.58520000000000005</v>
      </c>
      <c r="I38" s="98"/>
      <c r="J38" s="84"/>
      <c r="K38" s="124">
        <f t="shared" si="21"/>
        <v>0</v>
      </c>
      <c r="L38" s="125">
        <f t="shared" si="22"/>
        <v>0</v>
      </c>
      <c r="M38" s="126">
        <f t="shared" si="23"/>
        <v>0</v>
      </c>
      <c r="N38" s="149">
        <f t="shared" si="24"/>
        <v>0</v>
      </c>
      <c r="O38" s="129">
        <f t="shared" si="25"/>
        <v>0</v>
      </c>
      <c r="P38" s="127">
        <f t="shared" si="26"/>
        <v>0</v>
      </c>
      <c r="Q38" s="115"/>
      <c r="R38" s="127">
        <f t="shared" si="27"/>
        <v>0</v>
      </c>
      <c r="S38" s="127">
        <f t="shared" si="28"/>
        <v>0</v>
      </c>
      <c r="T38" s="127"/>
      <c r="U38" s="127"/>
      <c r="V38" s="98"/>
      <c r="W38" s="98"/>
      <c r="X38" s="70">
        <f t="shared" si="16"/>
        <v>0</v>
      </c>
      <c r="Y38" s="74">
        <f t="shared" si="17"/>
        <v>0</v>
      </c>
      <c r="Z38" s="79">
        <f t="shared" si="18"/>
        <v>0</v>
      </c>
      <c r="AA38" s="149">
        <f t="shared" si="19"/>
        <v>0</v>
      </c>
      <c r="AB38" s="84">
        <f t="shared" si="20"/>
        <v>0</v>
      </c>
      <c r="AC38" s="114">
        <f t="shared" si="29"/>
        <v>0</v>
      </c>
      <c r="AD38" s="70"/>
      <c r="AE38" s="74"/>
      <c r="AF38" s="79"/>
      <c r="AG38" s="149"/>
      <c r="AH38" s="84"/>
      <c r="AI38" s="114">
        <f t="shared" si="30"/>
        <v>0</v>
      </c>
      <c r="AJ38" s="117"/>
      <c r="AK38" s="117"/>
      <c r="AL38" s="107"/>
      <c r="AM38" s="118"/>
      <c r="AN38" s="118"/>
      <c r="AO38" s="118"/>
    </row>
    <row r="39" spans="2:41" ht="15.6" customHeight="1" x14ac:dyDescent="0.2">
      <c r="B39" s="98" t="s">
        <v>34</v>
      </c>
      <c r="C39" s="99" t="s">
        <v>35</v>
      </c>
      <c r="D39" s="98">
        <f>'Monthly Material Planning'!$D$13</f>
        <v>15.6</v>
      </c>
      <c r="E39" s="98">
        <f>'Cumulative Material Use'!$E$8</f>
        <v>1.08</v>
      </c>
      <c r="F39" s="98"/>
      <c r="G39" s="98"/>
      <c r="H39" s="98">
        <f>'Cumulative Material Use'!$E$39</f>
        <v>0.82130000000000003</v>
      </c>
      <c r="I39" s="98"/>
      <c r="J39" s="84"/>
      <c r="K39" s="124">
        <f t="shared" si="21"/>
        <v>0</v>
      </c>
      <c r="L39" s="125">
        <f t="shared" si="22"/>
        <v>0</v>
      </c>
      <c r="M39" s="126">
        <f t="shared" si="23"/>
        <v>0</v>
      </c>
      <c r="N39" s="149">
        <f t="shared" si="24"/>
        <v>0</v>
      </c>
      <c r="O39" s="129">
        <f t="shared" si="25"/>
        <v>0</v>
      </c>
      <c r="P39" s="127">
        <f t="shared" si="26"/>
        <v>0</v>
      </c>
      <c r="Q39" s="115"/>
      <c r="R39" s="127">
        <f t="shared" si="27"/>
        <v>0</v>
      </c>
      <c r="S39" s="127">
        <f t="shared" si="28"/>
        <v>0</v>
      </c>
      <c r="T39" s="127"/>
      <c r="U39" s="127"/>
      <c r="V39" s="98"/>
      <c r="W39" s="98"/>
      <c r="X39" s="70">
        <f t="shared" si="16"/>
        <v>0</v>
      </c>
      <c r="Y39" s="74">
        <f t="shared" si="17"/>
        <v>0</v>
      </c>
      <c r="Z39" s="79">
        <f t="shared" si="18"/>
        <v>0</v>
      </c>
      <c r="AA39" s="149">
        <f t="shared" si="19"/>
        <v>0</v>
      </c>
      <c r="AB39" s="84">
        <f t="shared" si="20"/>
        <v>0</v>
      </c>
      <c r="AC39" s="114">
        <f t="shared" si="29"/>
        <v>0</v>
      </c>
      <c r="AD39" s="70"/>
      <c r="AE39" s="74"/>
      <c r="AF39" s="79"/>
      <c r="AG39" s="149"/>
      <c r="AH39" s="84"/>
      <c r="AI39" s="114">
        <f t="shared" si="30"/>
        <v>0</v>
      </c>
      <c r="AJ39" s="117"/>
      <c r="AK39" s="117"/>
      <c r="AL39" s="107"/>
      <c r="AM39" s="118"/>
      <c r="AN39" s="118"/>
      <c r="AO39" s="118"/>
    </row>
    <row r="40" spans="2:41" ht="15.6" customHeight="1" x14ac:dyDescent="0.2">
      <c r="B40" s="100">
        <v>11090</v>
      </c>
      <c r="C40" s="101" t="s">
        <v>36</v>
      </c>
      <c r="D40" s="98">
        <f>'Monthly Material Planning'!$D$14</f>
        <v>12.7</v>
      </c>
      <c r="E40" s="98">
        <f>'Cumulative Material Use'!$E$9</f>
        <v>3.56E-2</v>
      </c>
      <c r="F40" s="98">
        <f>'Cumulative Material Use'!$E$14</f>
        <v>7.2139999999999996E-2</v>
      </c>
      <c r="G40" s="98">
        <f>'Cumulative Material Use'!$E$23</f>
        <v>1.154E-2</v>
      </c>
      <c r="H40" s="98">
        <f>'Cumulative Material Use'!$E$40</f>
        <v>1.154E-2</v>
      </c>
      <c r="I40" s="98">
        <f>'Cumulative Material Use'!$E$30</f>
        <v>0.40644999999999998</v>
      </c>
      <c r="J40" s="84"/>
      <c r="K40" s="124">
        <f t="shared" si="21"/>
        <v>0</v>
      </c>
      <c r="L40" s="125">
        <f t="shared" si="22"/>
        <v>0</v>
      </c>
      <c r="M40" s="126">
        <f t="shared" si="23"/>
        <v>0</v>
      </c>
      <c r="N40" s="149">
        <f t="shared" si="24"/>
        <v>0</v>
      </c>
      <c r="O40" s="129">
        <f t="shared" si="25"/>
        <v>0</v>
      </c>
      <c r="P40" s="127">
        <f t="shared" si="26"/>
        <v>0</v>
      </c>
      <c r="Q40" s="115"/>
      <c r="R40" s="127">
        <f t="shared" si="27"/>
        <v>0</v>
      </c>
      <c r="S40" s="127">
        <f t="shared" si="28"/>
        <v>0</v>
      </c>
      <c r="T40" s="127"/>
      <c r="U40" s="127"/>
      <c r="V40" s="98"/>
      <c r="W40" s="98"/>
      <c r="X40" s="70">
        <f t="shared" si="16"/>
        <v>0</v>
      </c>
      <c r="Y40" s="74">
        <f t="shared" si="17"/>
        <v>0</v>
      </c>
      <c r="Z40" s="79">
        <f t="shared" si="18"/>
        <v>0</v>
      </c>
      <c r="AA40" s="149">
        <f t="shared" si="19"/>
        <v>0</v>
      </c>
      <c r="AB40" s="84">
        <f t="shared" si="20"/>
        <v>0</v>
      </c>
      <c r="AC40" s="114">
        <f t="shared" si="29"/>
        <v>0</v>
      </c>
      <c r="AD40" s="70"/>
      <c r="AE40" s="74"/>
      <c r="AF40" s="79"/>
      <c r="AG40" s="149"/>
      <c r="AH40" s="84"/>
      <c r="AI40" s="114">
        <f t="shared" si="30"/>
        <v>0</v>
      </c>
      <c r="AJ40" s="117"/>
      <c r="AK40" s="117"/>
      <c r="AL40" s="107"/>
      <c r="AM40" s="118"/>
      <c r="AN40" s="118"/>
      <c r="AO40" s="118"/>
    </row>
    <row r="41" spans="2:41" ht="15.6" customHeight="1" x14ac:dyDescent="0.2">
      <c r="B41" s="98">
        <v>10073</v>
      </c>
      <c r="C41" s="99" t="s">
        <v>37</v>
      </c>
      <c r="D41" s="98">
        <f>'Monthly Material Planning'!$D$15</f>
        <v>0</v>
      </c>
      <c r="E41" s="98">
        <f>'Cumulative Material Use'!$E$10</f>
        <v>0.11</v>
      </c>
      <c r="F41" s="98"/>
      <c r="G41" s="98"/>
      <c r="H41" s="98">
        <f>'Cumulative Material Use'!$E$41</f>
        <v>0.11</v>
      </c>
      <c r="I41" s="98"/>
      <c r="J41" s="84"/>
      <c r="K41" s="124">
        <f t="shared" si="21"/>
        <v>0</v>
      </c>
      <c r="L41" s="125">
        <f t="shared" si="22"/>
        <v>0</v>
      </c>
      <c r="M41" s="126">
        <f t="shared" si="23"/>
        <v>0</v>
      </c>
      <c r="N41" s="149">
        <f t="shared" si="24"/>
        <v>0</v>
      </c>
      <c r="O41" s="129">
        <f t="shared" si="25"/>
        <v>0</v>
      </c>
      <c r="P41" s="127">
        <f t="shared" si="26"/>
        <v>0</v>
      </c>
      <c r="Q41" s="115"/>
      <c r="R41" s="127">
        <f t="shared" si="27"/>
        <v>0</v>
      </c>
      <c r="S41" s="127" t="e">
        <f t="shared" si="28"/>
        <v>#DIV/0!</v>
      </c>
      <c r="T41" s="127"/>
      <c r="U41" s="127"/>
      <c r="V41" s="98"/>
      <c r="W41" s="98"/>
      <c r="X41" s="70">
        <f t="shared" si="16"/>
        <v>0</v>
      </c>
      <c r="Y41" s="74">
        <f t="shared" si="17"/>
        <v>0</v>
      </c>
      <c r="Z41" s="79">
        <f t="shared" si="18"/>
        <v>0</v>
      </c>
      <c r="AA41" s="149">
        <f t="shared" si="19"/>
        <v>0</v>
      </c>
      <c r="AB41" s="84">
        <f t="shared" si="20"/>
        <v>0</v>
      </c>
      <c r="AC41" s="114">
        <f t="shared" si="29"/>
        <v>0</v>
      </c>
      <c r="AD41" s="70"/>
      <c r="AE41" s="74"/>
      <c r="AF41" s="79"/>
      <c r="AG41" s="149"/>
      <c r="AH41" s="84"/>
      <c r="AI41" s="114">
        <f t="shared" si="30"/>
        <v>0</v>
      </c>
      <c r="AJ41" s="117"/>
      <c r="AK41" s="117"/>
      <c r="AL41" s="107"/>
      <c r="AM41" s="118"/>
      <c r="AN41" s="118"/>
      <c r="AO41" s="118"/>
    </row>
    <row r="42" spans="2:41" ht="15.6" customHeight="1" x14ac:dyDescent="0.2">
      <c r="B42" s="98">
        <v>10970</v>
      </c>
      <c r="C42" s="99" t="s">
        <v>38</v>
      </c>
      <c r="D42" s="98">
        <f>'Monthly Material Planning'!$D$16</f>
        <v>13.6</v>
      </c>
      <c r="E42" s="98"/>
      <c r="F42" s="98">
        <f>'Cumulative Material Use'!$E$12</f>
        <v>0.4103</v>
      </c>
      <c r="G42" s="98"/>
      <c r="H42" s="98"/>
      <c r="I42" s="98"/>
      <c r="J42" s="84"/>
      <c r="K42" s="124">
        <f t="shared" si="21"/>
        <v>0</v>
      </c>
      <c r="L42" s="125">
        <f t="shared" si="22"/>
        <v>0</v>
      </c>
      <c r="M42" s="126">
        <f t="shared" si="23"/>
        <v>0</v>
      </c>
      <c r="N42" s="149">
        <f t="shared" si="24"/>
        <v>0</v>
      </c>
      <c r="O42" s="129">
        <f t="shared" si="25"/>
        <v>0</v>
      </c>
      <c r="P42" s="127">
        <f t="shared" si="26"/>
        <v>0</v>
      </c>
      <c r="Q42" s="115"/>
      <c r="R42" s="127">
        <f t="shared" si="27"/>
        <v>0</v>
      </c>
      <c r="S42" s="127">
        <f t="shared" si="28"/>
        <v>0</v>
      </c>
      <c r="T42" s="127"/>
      <c r="U42" s="127"/>
      <c r="V42" s="98"/>
      <c r="W42" s="98"/>
      <c r="X42" s="70">
        <f t="shared" si="16"/>
        <v>0</v>
      </c>
      <c r="Y42" s="74">
        <f t="shared" si="17"/>
        <v>0</v>
      </c>
      <c r="Z42" s="79">
        <f t="shared" si="18"/>
        <v>0</v>
      </c>
      <c r="AA42" s="149">
        <f t="shared" si="19"/>
        <v>0</v>
      </c>
      <c r="AB42" s="84">
        <f t="shared" si="20"/>
        <v>0</v>
      </c>
      <c r="AC42" s="114">
        <f t="shared" si="29"/>
        <v>0</v>
      </c>
      <c r="AD42" s="70"/>
      <c r="AE42" s="74"/>
      <c r="AF42" s="79"/>
      <c r="AG42" s="149"/>
      <c r="AH42" s="84"/>
      <c r="AI42" s="114">
        <f t="shared" si="30"/>
        <v>0</v>
      </c>
      <c r="AJ42" s="117"/>
      <c r="AK42" s="117"/>
      <c r="AL42" s="107"/>
      <c r="AM42" s="118"/>
      <c r="AN42" s="118"/>
      <c r="AO42" s="118"/>
    </row>
    <row r="43" spans="2:41" ht="15.6" customHeight="1" x14ac:dyDescent="0.2">
      <c r="B43" s="98" t="s">
        <v>39</v>
      </c>
      <c r="C43" s="99" t="s">
        <v>40</v>
      </c>
      <c r="D43" s="98">
        <f>'Monthly Material Planning'!$D$17</f>
        <v>10</v>
      </c>
      <c r="E43" s="98"/>
      <c r="F43" s="98">
        <f>'Cumulative Material Use'!$E$17</f>
        <v>0.55556000000000005</v>
      </c>
      <c r="G43" s="98"/>
      <c r="H43" s="98"/>
      <c r="I43" s="98"/>
      <c r="J43" s="84"/>
      <c r="K43" s="124">
        <f t="shared" si="21"/>
        <v>0</v>
      </c>
      <c r="L43" s="125">
        <f t="shared" si="22"/>
        <v>0</v>
      </c>
      <c r="M43" s="126">
        <f t="shared" si="23"/>
        <v>0</v>
      </c>
      <c r="N43" s="149">
        <f t="shared" si="24"/>
        <v>0</v>
      </c>
      <c r="O43" s="129">
        <f t="shared" si="25"/>
        <v>0</v>
      </c>
      <c r="P43" s="127">
        <f t="shared" si="26"/>
        <v>0</v>
      </c>
      <c r="Q43" s="115"/>
      <c r="R43" s="127">
        <f t="shared" si="27"/>
        <v>0</v>
      </c>
      <c r="S43" s="127">
        <f t="shared" si="28"/>
        <v>0</v>
      </c>
      <c r="T43" s="127"/>
      <c r="U43" s="127"/>
      <c r="V43" s="98"/>
      <c r="W43" s="98"/>
      <c r="X43" s="70">
        <f t="shared" si="16"/>
        <v>0</v>
      </c>
      <c r="Y43" s="74">
        <f t="shared" si="17"/>
        <v>0</v>
      </c>
      <c r="Z43" s="79">
        <f t="shared" si="18"/>
        <v>0</v>
      </c>
      <c r="AA43" s="149">
        <f t="shared" si="19"/>
        <v>0</v>
      </c>
      <c r="AB43" s="84">
        <f t="shared" si="20"/>
        <v>0</v>
      </c>
      <c r="AC43" s="114">
        <f t="shared" si="29"/>
        <v>0</v>
      </c>
      <c r="AD43" s="70"/>
      <c r="AE43" s="74"/>
      <c r="AF43" s="79"/>
      <c r="AG43" s="149"/>
      <c r="AH43" s="84"/>
      <c r="AI43" s="114">
        <f t="shared" si="30"/>
        <v>0</v>
      </c>
      <c r="AJ43" s="117"/>
      <c r="AK43" s="117"/>
      <c r="AL43" s="107"/>
      <c r="AM43" s="118"/>
      <c r="AN43" s="118"/>
      <c r="AO43" s="118"/>
    </row>
    <row r="44" spans="2:41" ht="15.6" customHeight="1" x14ac:dyDescent="0.2">
      <c r="B44" s="100">
        <v>11442</v>
      </c>
      <c r="C44" s="102" t="s">
        <v>41</v>
      </c>
      <c r="D44" s="98">
        <f>'Monthly Material Planning'!$D$18</f>
        <v>17.7</v>
      </c>
      <c r="E44" s="98"/>
      <c r="F44" s="98">
        <f>'Cumulative Material Use'!$E$18</f>
        <v>7.4340000000000003E-2</v>
      </c>
      <c r="G44" s="98">
        <f>'Cumulative Material Use'!$E$21</f>
        <v>7.4340000000000003E-2</v>
      </c>
      <c r="H44" s="98"/>
      <c r="I44" s="98"/>
      <c r="J44" s="84"/>
      <c r="K44" s="124">
        <f t="shared" si="21"/>
        <v>0</v>
      </c>
      <c r="L44" s="125">
        <f t="shared" si="22"/>
        <v>0</v>
      </c>
      <c r="M44" s="126">
        <f t="shared" si="23"/>
        <v>0</v>
      </c>
      <c r="N44" s="149">
        <f t="shared" si="24"/>
        <v>0</v>
      </c>
      <c r="O44" s="129">
        <f t="shared" si="25"/>
        <v>0</v>
      </c>
      <c r="P44" s="127">
        <f t="shared" si="26"/>
        <v>0</v>
      </c>
      <c r="Q44" s="115"/>
      <c r="R44" s="127">
        <f t="shared" si="27"/>
        <v>0</v>
      </c>
      <c r="S44" s="127">
        <f t="shared" si="28"/>
        <v>0</v>
      </c>
      <c r="T44" s="127"/>
      <c r="U44" s="127"/>
      <c r="V44" s="98"/>
      <c r="W44" s="98"/>
      <c r="X44" s="70">
        <f t="shared" si="16"/>
        <v>0</v>
      </c>
      <c r="Y44" s="74">
        <f t="shared" si="17"/>
        <v>0</v>
      </c>
      <c r="Z44" s="79">
        <f t="shared" si="18"/>
        <v>0</v>
      </c>
      <c r="AA44" s="149">
        <f t="shared" si="19"/>
        <v>0</v>
      </c>
      <c r="AB44" s="84">
        <f t="shared" si="20"/>
        <v>0</v>
      </c>
      <c r="AC44" s="114">
        <f t="shared" si="29"/>
        <v>0</v>
      </c>
      <c r="AD44" s="70"/>
      <c r="AE44" s="74"/>
      <c r="AF44" s="79"/>
      <c r="AG44" s="149"/>
      <c r="AH44" s="84"/>
      <c r="AI44" s="114">
        <f t="shared" si="30"/>
        <v>0</v>
      </c>
      <c r="AJ44" s="117"/>
      <c r="AK44" s="117"/>
      <c r="AL44" s="107"/>
      <c r="AM44" s="118"/>
      <c r="AN44" s="118"/>
      <c r="AO44" s="118"/>
    </row>
    <row r="45" spans="2:41" ht="15.6" customHeight="1" x14ac:dyDescent="0.2">
      <c r="B45" s="98">
        <v>11515</v>
      </c>
      <c r="C45" s="99" t="s">
        <v>42</v>
      </c>
      <c r="D45" s="98">
        <f>'Monthly Material Planning'!$D$19</f>
        <v>9.16</v>
      </c>
      <c r="E45" s="98"/>
      <c r="F45" s="98"/>
      <c r="G45" s="98">
        <f>'Cumulative Material Use'!$E$19</f>
        <v>0.71702999999999995</v>
      </c>
      <c r="H45" s="98"/>
      <c r="I45" s="98"/>
      <c r="J45" s="84"/>
      <c r="K45" s="124">
        <f t="shared" si="21"/>
        <v>0</v>
      </c>
      <c r="L45" s="125">
        <f t="shared" si="22"/>
        <v>0</v>
      </c>
      <c r="M45" s="126">
        <f t="shared" si="23"/>
        <v>0</v>
      </c>
      <c r="N45" s="149">
        <f t="shared" si="24"/>
        <v>0</v>
      </c>
      <c r="O45" s="129">
        <f t="shared" si="25"/>
        <v>0</v>
      </c>
      <c r="P45" s="127">
        <f t="shared" si="26"/>
        <v>0</v>
      </c>
      <c r="Q45" s="115"/>
      <c r="R45" s="127">
        <f t="shared" si="27"/>
        <v>0</v>
      </c>
      <c r="S45" s="127">
        <f t="shared" si="28"/>
        <v>0</v>
      </c>
      <c r="T45" s="127"/>
      <c r="U45" s="127"/>
      <c r="V45" s="98"/>
      <c r="W45" s="98"/>
      <c r="X45" s="70">
        <f t="shared" si="16"/>
        <v>0</v>
      </c>
      <c r="Y45" s="74">
        <f t="shared" si="17"/>
        <v>0</v>
      </c>
      <c r="Z45" s="79">
        <f t="shared" si="18"/>
        <v>0</v>
      </c>
      <c r="AA45" s="149">
        <f t="shared" si="19"/>
        <v>0</v>
      </c>
      <c r="AB45" s="84">
        <f t="shared" si="20"/>
        <v>0</v>
      </c>
      <c r="AC45" s="114">
        <f t="shared" si="29"/>
        <v>0</v>
      </c>
      <c r="AD45" s="70"/>
      <c r="AE45" s="74"/>
      <c r="AF45" s="79"/>
      <c r="AG45" s="149"/>
      <c r="AH45" s="84"/>
      <c r="AI45" s="114">
        <f t="shared" si="30"/>
        <v>0</v>
      </c>
      <c r="AJ45" s="117"/>
      <c r="AK45" s="117"/>
      <c r="AL45" s="107"/>
      <c r="AM45" s="118"/>
      <c r="AN45" s="118"/>
      <c r="AO45" s="118"/>
    </row>
    <row r="46" spans="2:41" ht="15.6" customHeight="1" x14ac:dyDescent="0.2">
      <c r="B46" s="98" t="s">
        <v>43</v>
      </c>
      <c r="C46" s="99" t="s">
        <v>44</v>
      </c>
      <c r="D46" s="98">
        <f>'Monthly Material Planning'!$D$20</f>
        <v>3.55</v>
      </c>
      <c r="E46" s="98"/>
      <c r="F46" s="98"/>
      <c r="G46" s="98">
        <f>'Cumulative Material Use'!$E$22</f>
        <v>0.1961</v>
      </c>
      <c r="H46" s="98"/>
      <c r="I46" s="98"/>
      <c r="J46" s="84"/>
      <c r="K46" s="124">
        <f t="shared" si="21"/>
        <v>0</v>
      </c>
      <c r="L46" s="125">
        <f t="shared" si="22"/>
        <v>0</v>
      </c>
      <c r="M46" s="126">
        <f t="shared" si="23"/>
        <v>0</v>
      </c>
      <c r="N46" s="149">
        <f t="shared" si="24"/>
        <v>0</v>
      </c>
      <c r="O46" s="129">
        <f t="shared" si="25"/>
        <v>0</v>
      </c>
      <c r="P46" s="127">
        <f t="shared" si="26"/>
        <v>0</v>
      </c>
      <c r="Q46" s="115"/>
      <c r="R46" s="127">
        <f t="shared" si="27"/>
        <v>0</v>
      </c>
      <c r="S46" s="127">
        <f t="shared" si="28"/>
        <v>0</v>
      </c>
      <c r="T46" s="127"/>
      <c r="U46" s="127"/>
      <c r="V46" s="98"/>
      <c r="W46" s="98"/>
      <c r="X46" s="70">
        <f t="shared" si="16"/>
        <v>0</v>
      </c>
      <c r="Y46" s="74">
        <f t="shared" si="17"/>
        <v>0</v>
      </c>
      <c r="Z46" s="79">
        <f t="shared" si="18"/>
        <v>0</v>
      </c>
      <c r="AA46" s="149">
        <f t="shared" si="19"/>
        <v>0</v>
      </c>
      <c r="AB46" s="84">
        <f t="shared" si="20"/>
        <v>0</v>
      </c>
      <c r="AC46" s="114">
        <f t="shared" si="29"/>
        <v>0</v>
      </c>
      <c r="AD46" s="70"/>
      <c r="AE46" s="74"/>
      <c r="AF46" s="79"/>
      <c r="AG46" s="149"/>
      <c r="AH46" s="84"/>
      <c r="AI46" s="114">
        <f t="shared" si="30"/>
        <v>0</v>
      </c>
      <c r="AJ46" s="117"/>
      <c r="AK46" s="117"/>
      <c r="AL46" s="107"/>
      <c r="AM46" s="118"/>
      <c r="AN46" s="118"/>
      <c r="AO46" s="118"/>
    </row>
    <row r="47" spans="2:41" ht="15.6" customHeight="1" x14ac:dyDescent="0.2">
      <c r="B47" s="98" t="s">
        <v>45</v>
      </c>
      <c r="C47" s="99" t="s">
        <v>46</v>
      </c>
      <c r="D47" s="98">
        <f>'Monthly Material Planning'!$D$21</f>
        <v>29.8</v>
      </c>
      <c r="E47" s="98"/>
      <c r="F47" s="98"/>
      <c r="G47" s="98">
        <f>'Cumulative Material Use'!$E$25</f>
        <v>0.44950000000000001</v>
      </c>
      <c r="H47" s="98"/>
      <c r="I47" s="98">
        <f>'Cumulative Material Use'!$E$32</f>
        <v>2.6599999999999999E-2</v>
      </c>
      <c r="J47" s="84"/>
      <c r="K47" s="124">
        <f t="shared" si="21"/>
        <v>0</v>
      </c>
      <c r="L47" s="125">
        <f t="shared" si="22"/>
        <v>0</v>
      </c>
      <c r="M47" s="126">
        <f t="shared" si="23"/>
        <v>0</v>
      </c>
      <c r="N47" s="149">
        <f t="shared" si="24"/>
        <v>0</v>
      </c>
      <c r="O47" s="129">
        <f t="shared" si="25"/>
        <v>0</v>
      </c>
      <c r="P47" s="127">
        <f t="shared" si="26"/>
        <v>0</v>
      </c>
      <c r="Q47" s="115"/>
      <c r="R47" s="127">
        <f t="shared" si="27"/>
        <v>0</v>
      </c>
      <c r="S47" s="127">
        <f t="shared" si="28"/>
        <v>0</v>
      </c>
      <c r="T47" s="127"/>
      <c r="U47" s="127"/>
      <c r="V47" s="98"/>
      <c r="W47" s="98"/>
      <c r="X47" s="70">
        <f t="shared" si="16"/>
        <v>0</v>
      </c>
      <c r="Y47" s="74">
        <f t="shared" si="17"/>
        <v>0</v>
      </c>
      <c r="Z47" s="79">
        <f t="shared" si="18"/>
        <v>0</v>
      </c>
      <c r="AA47" s="149">
        <f t="shared" si="19"/>
        <v>0</v>
      </c>
      <c r="AB47" s="84">
        <f t="shared" si="20"/>
        <v>0</v>
      </c>
      <c r="AC47" s="114">
        <f t="shared" si="29"/>
        <v>0</v>
      </c>
      <c r="AD47" s="70"/>
      <c r="AE47" s="74"/>
      <c r="AF47" s="79"/>
      <c r="AG47" s="149"/>
      <c r="AH47" s="84"/>
      <c r="AI47" s="114">
        <f t="shared" si="30"/>
        <v>0</v>
      </c>
      <c r="AJ47" s="117"/>
      <c r="AK47" s="117"/>
      <c r="AL47" s="107"/>
      <c r="AM47" s="118"/>
      <c r="AN47" s="118"/>
      <c r="AO47" s="118"/>
    </row>
    <row r="48" spans="2:41" ht="15.6" customHeight="1" x14ac:dyDescent="0.2">
      <c r="B48" s="98">
        <v>11226</v>
      </c>
      <c r="C48" s="99" t="s">
        <v>47</v>
      </c>
      <c r="D48" s="98">
        <f>'Monthly Material Planning'!$D$22</f>
        <v>27.3</v>
      </c>
      <c r="E48" s="98"/>
      <c r="F48" s="98"/>
      <c r="G48" s="98">
        <f>'Cumulative Material Use'!$E$27</f>
        <v>0.47900999999999999</v>
      </c>
      <c r="H48" s="98"/>
      <c r="I48" s="98"/>
      <c r="J48" s="84"/>
      <c r="K48" s="124">
        <f t="shared" si="21"/>
        <v>0</v>
      </c>
      <c r="L48" s="125">
        <f t="shared" si="22"/>
        <v>0</v>
      </c>
      <c r="M48" s="126">
        <f t="shared" si="23"/>
        <v>0</v>
      </c>
      <c r="N48" s="149">
        <f t="shared" si="24"/>
        <v>0</v>
      </c>
      <c r="O48" s="129">
        <f t="shared" si="25"/>
        <v>0</v>
      </c>
      <c r="P48" s="127">
        <f t="shared" si="26"/>
        <v>0</v>
      </c>
      <c r="Q48" s="115"/>
      <c r="R48" s="127">
        <f t="shared" si="27"/>
        <v>0</v>
      </c>
      <c r="S48" s="127">
        <f t="shared" si="28"/>
        <v>0</v>
      </c>
      <c r="T48" s="127"/>
      <c r="U48" s="127"/>
      <c r="V48" s="98"/>
      <c r="W48" s="98"/>
      <c r="X48" s="70">
        <f t="shared" si="16"/>
        <v>0</v>
      </c>
      <c r="Y48" s="74">
        <f t="shared" si="17"/>
        <v>0</v>
      </c>
      <c r="Z48" s="79">
        <f t="shared" si="18"/>
        <v>0</v>
      </c>
      <c r="AA48" s="149">
        <f t="shared" si="19"/>
        <v>0</v>
      </c>
      <c r="AB48" s="84">
        <f t="shared" si="20"/>
        <v>0</v>
      </c>
      <c r="AC48" s="114">
        <f t="shared" si="29"/>
        <v>0</v>
      </c>
      <c r="AD48" s="70"/>
      <c r="AE48" s="74"/>
      <c r="AF48" s="79"/>
      <c r="AG48" s="149"/>
      <c r="AH48" s="84"/>
      <c r="AI48" s="114">
        <f t="shared" si="30"/>
        <v>0</v>
      </c>
      <c r="AJ48" s="117"/>
      <c r="AK48" s="117"/>
      <c r="AL48" s="107"/>
      <c r="AM48" s="118"/>
      <c r="AN48" s="118"/>
      <c r="AO48" s="118"/>
    </row>
    <row r="49" spans="2:41" ht="15.6" customHeight="1" x14ac:dyDescent="0.2">
      <c r="B49" s="98">
        <v>10074</v>
      </c>
      <c r="C49" s="99" t="s">
        <v>48</v>
      </c>
      <c r="D49" s="98">
        <f>'Monthly Material Planning'!$D$23</f>
        <v>19</v>
      </c>
      <c r="E49" s="98"/>
      <c r="F49" s="98"/>
      <c r="G49" s="98"/>
      <c r="H49" s="98">
        <f>'Cumulative Material Use'!$E$37</f>
        <v>7.92E-3</v>
      </c>
      <c r="I49" s="98"/>
      <c r="J49" s="84"/>
      <c r="K49" s="124"/>
      <c r="L49" s="125"/>
      <c r="M49" s="126"/>
      <c r="N49" s="149">
        <f t="shared" si="24"/>
        <v>0</v>
      </c>
      <c r="O49" s="129"/>
      <c r="P49" s="127"/>
      <c r="Q49" s="115"/>
      <c r="R49" s="127"/>
      <c r="S49" s="127">
        <f t="shared" si="28"/>
        <v>0</v>
      </c>
      <c r="T49" s="127"/>
      <c r="U49" s="127"/>
      <c r="V49" s="98"/>
      <c r="W49" s="98"/>
      <c r="X49" s="70"/>
      <c r="Y49" s="74"/>
      <c r="Z49" s="79"/>
      <c r="AA49" s="149">
        <f t="shared" si="19"/>
        <v>0</v>
      </c>
      <c r="AB49" s="84"/>
      <c r="AC49" s="114"/>
      <c r="AD49" s="70"/>
      <c r="AE49" s="74"/>
      <c r="AF49" s="79"/>
      <c r="AG49" s="149"/>
      <c r="AH49" s="84"/>
      <c r="AI49" s="114"/>
      <c r="AJ49" s="117"/>
      <c r="AK49" s="117"/>
      <c r="AL49" s="107"/>
      <c r="AM49" s="118"/>
      <c r="AN49" s="118"/>
      <c r="AO49" s="118"/>
    </row>
    <row r="50" spans="2:41" ht="15.6" customHeight="1" x14ac:dyDescent="0.2">
      <c r="B50" s="98">
        <v>11291</v>
      </c>
      <c r="C50" s="99" t="s">
        <v>49</v>
      </c>
      <c r="D50" s="98">
        <f>'Monthly Material Planning'!$D$24</f>
        <v>0.2379</v>
      </c>
      <c r="E50" s="98"/>
      <c r="F50" s="98"/>
      <c r="G50" s="98">
        <f>'Cumulative Material Use'!$E$28</f>
        <v>8.0399999999999999E-2</v>
      </c>
      <c r="H50" s="98"/>
      <c r="I50" s="98"/>
      <c r="J50" s="84"/>
      <c r="K50" s="124">
        <f t="shared" si="21"/>
        <v>0</v>
      </c>
      <c r="L50" s="125">
        <f t="shared" si="22"/>
        <v>0</v>
      </c>
      <c r="M50" s="126">
        <f t="shared" si="23"/>
        <v>0</v>
      </c>
      <c r="N50" s="149">
        <f t="shared" si="24"/>
        <v>0</v>
      </c>
      <c r="O50" s="129">
        <f t="shared" si="25"/>
        <v>0</v>
      </c>
      <c r="P50" s="127">
        <f t="shared" si="26"/>
        <v>0</v>
      </c>
      <c r="Q50" s="115"/>
      <c r="R50" s="127">
        <f t="shared" si="27"/>
        <v>0</v>
      </c>
      <c r="S50" s="127">
        <f t="shared" si="28"/>
        <v>0</v>
      </c>
      <c r="T50" s="127"/>
      <c r="U50" s="127"/>
      <c r="V50" s="98"/>
      <c r="W50" s="98"/>
      <c r="X50" s="70">
        <f>E50*$AD$5</f>
        <v>0</v>
      </c>
      <c r="Y50" s="74">
        <f>F50*$AE$5</f>
        <v>0</v>
      </c>
      <c r="Z50" s="79">
        <f>G50*$AF$5</f>
        <v>0</v>
      </c>
      <c r="AA50" s="149">
        <f t="shared" si="19"/>
        <v>0</v>
      </c>
      <c r="AB50" s="84">
        <f>I50*$AH$5</f>
        <v>0</v>
      </c>
      <c r="AC50" s="114">
        <f t="shared" si="29"/>
        <v>0</v>
      </c>
      <c r="AD50" s="70"/>
      <c r="AE50" s="74"/>
      <c r="AF50" s="79"/>
      <c r="AG50" s="149"/>
      <c r="AH50" s="84"/>
      <c r="AI50" s="114">
        <f t="shared" si="30"/>
        <v>0</v>
      </c>
      <c r="AJ50" s="117"/>
      <c r="AK50" s="117"/>
      <c r="AL50" s="107"/>
      <c r="AM50" s="118"/>
      <c r="AN50" s="118"/>
      <c r="AO50" s="118"/>
    </row>
    <row r="51" spans="2:41" ht="15.6" customHeight="1" x14ac:dyDescent="0.2">
      <c r="B51" s="98">
        <v>11290</v>
      </c>
      <c r="C51" s="99" t="s">
        <v>50</v>
      </c>
      <c r="D51" s="98">
        <f>'Monthly Material Planning'!$D$25</f>
        <v>0.1308</v>
      </c>
      <c r="E51" s="98"/>
      <c r="F51" s="98"/>
      <c r="G51" s="98">
        <f>'Cumulative Material Use'!$E$29</f>
        <v>5.5500000000000001E-2</v>
      </c>
      <c r="H51" s="98"/>
      <c r="I51" s="98"/>
      <c r="J51" s="84"/>
      <c r="K51" s="124">
        <f t="shared" si="21"/>
        <v>0</v>
      </c>
      <c r="L51" s="125">
        <f t="shared" si="22"/>
        <v>0</v>
      </c>
      <c r="M51" s="126">
        <f t="shared" si="23"/>
        <v>0</v>
      </c>
      <c r="N51" s="149">
        <f t="shared" si="24"/>
        <v>0</v>
      </c>
      <c r="O51" s="129">
        <f t="shared" si="25"/>
        <v>0</v>
      </c>
      <c r="P51" s="127">
        <f t="shared" si="26"/>
        <v>0</v>
      </c>
      <c r="Q51" s="115"/>
      <c r="R51" s="127">
        <f t="shared" si="27"/>
        <v>0</v>
      </c>
      <c r="S51" s="127">
        <f t="shared" si="28"/>
        <v>0</v>
      </c>
      <c r="T51" s="127"/>
      <c r="U51" s="127"/>
      <c r="V51" s="98"/>
      <c r="W51" s="98"/>
      <c r="X51" s="70">
        <f>E51*$AD$5</f>
        <v>0</v>
      </c>
      <c r="Y51" s="74">
        <f>F51*$AE$5</f>
        <v>0</v>
      </c>
      <c r="Z51" s="79">
        <f>G51*$AF$5</f>
        <v>0</v>
      </c>
      <c r="AA51" s="149">
        <f t="shared" si="19"/>
        <v>0</v>
      </c>
      <c r="AB51" s="84">
        <f>I51*$AH$5</f>
        <v>0</v>
      </c>
      <c r="AC51" s="114">
        <f t="shared" si="29"/>
        <v>0</v>
      </c>
      <c r="AD51" s="70"/>
      <c r="AE51" s="74"/>
      <c r="AF51" s="79"/>
      <c r="AG51" s="149"/>
      <c r="AH51" s="84"/>
      <c r="AI51" s="114">
        <f t="shared" si="30"/>
        <v>0</v>
      </c>
      <c r="AJ51" s="117"/>
      <c r="AK51" s="117"/>
      <c r="AL51" s="107"/>
      <c r="AM51" s="118"/>
      <c r="AN51" s="118"/>
      <c r="AO51" s="118"/>
    </row>
    <row r="52" spans="2:41" ht="19.2" customHeight="1" x14ac:dyDescent="0.2"/>
    <row r="53" spans="2:41" ht="15.6" customHeight="1" x14ac:dyDescent="0.25">
      <c r="B53" s="223" t="s">
        <v>55</v>
      </c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3"/>
      <c r="O53" s="223"/>
      <c r="P53" s="223"/>
      <c r="Q53" s="223"/>
      <c r="R53" s="223"/>
      <c r="S53" s="223"/>
      <c r="T53" s="223"/>
      <c r="U53" s="223"/>
      <c r="V53" s="223"/>
      <c r="W53" s="223"/>
      <c r="X53" s="223"/>
      <c r="Y53" s="223"/>
      <c r="Z53" s="223"/>
      <c r="AA53" s="223"/>
      <c r="AB53" s="223"/>
      <c r="AC53" s="223"/>
      <c r="AD53" s="223"/>
      <c r="AE53" s="223"/>
      <c r="AF53" s="223"/>
      <c r="AG53" s="223"/>
      <c r="AH53" s="223"/>
      <c r="AI53" s="223"/>
      <c r="AJ53" s="223"/>
      <c r="AK53" s="223"/>
      <c r="AL53" s="223"/>
      <c r="AM53" s="223"/>
      <c r="AN53" s="223"/>
      <c r="AO53" s="223"/>
    </row>
    <row r="54" spans="2:41" ht="22.95" customHeight="1" x14ac:dyDescent="0.2">
      <c r="B54" s="218" t="s">
        <v>7</v>
      </c>
      <c r="C54" s="220" t="s">
        <v>8</v>
      </c>
      <c r="D54" s="218" t="s">
        <v>9</v>
      </c>
      <c r="E54" s="222" t="s">
        <v>10</v>
      </c>
      <c r="F54" s="222"/>
      <c r="G54" s="222"/>
      <c r="H54" s="222"/>
      <c r="I54" s="222"/>
      <c r="J54" s="226"/>
      <c r="K54" s="214" t="s">
        <v>57</v>
      </c>
      <c r="L54" s="214"/>
      <c r="M54" s="214"/>
      <c r="N54" s="214"/>
      <c r="O54" s="214"/>
      <c r="P54" s="214"/>
      <c r="Q54" s="204" t="s">
        <v>12</v>
      </c>
      <c r="R54" s="215" t="s">
        <v>13</v>
      </c>
      <c r="S54" s="215" t="s">
        <v>14</v>
      </c>
      <c r="T54" s="215" t="s">
        <v>58</v>
      </c>
      <c r="U54" s="215" t="s">
        <v>59</v>
      </c>
      <c r="V54" s="207" t="s">
        <v>15</v>
      </c>
      <c r="W54" s="208"/>
      <c r="X54" s="217" t="s">
        <v>60</v>
      </c>
      <c r="Y54" s="217"/>
      <c r="Z54" s="217"/>
      <c r="AA54" s="217"/>
      <c r="AB54" s="217"/>
      <c r="AC54" s="217"/>
      <c r="AD54" s="206" t="s">
        <v>64</v>
      </c>
      <c r="AE54" s="206"/>
      <c r="AF54" s="206"/>
      <c r="AG54" s="206"/>
      <c r="AH54" s="206"/>
      <c r="AI54" s="206"/>
      <c r="AJ54" s="207" t="s">
        <v>18</v>
      </c>
      <c r="AK54" s="208"/>
      <c r="AL54" s="209" t="s">
        <v>19</v>
      </c>
      <c r="AM54" s="224" t="s">
        <v>62</v>
      </c>
      <c r="AN54" s="224" t="s">
        <v>63</v>
      </c>
      <c r="AO54" s="204" t="s">
        <v>21</v>
      </c>
    </row>
    <row r="55" spans="2:41" ht="19.2" customHeight="1" x14ac:dyDescent="0.2">
      <c r="B55" s="219"/>
      <c r="C55" s="221"/>
      <c r="D55" s="219"/>
      <c r="E55" s="108" t="s">
        <v>2</v>
      </c>
      <c r="F55" s="109" t="s">
        <v>22</v>
      </c>
      <c r="G55" s="110" t="s">
        <v>23</v>
      </c>
      <c r="H55" s="148" t="s">
        <v>5</v>
      </c>
      <c r="I55" s="111" t="s">
        <v>24</v>
      </c>
      <c r="J55" s="227"/>
      <c r="K55" s="108" t="s">
        <v>2</v>
      </c>
      <c r="L55" s="109" t="s">
        <v>22</v>
      </c>
      <c r="M55" s="110" t="s">
        <v>23</v>
      </c>
      <c r="N55" s="148" t="s">
        <v>5</v>
      </c>
      <c r="O55" s="111" t="s">
        <v>24</v>
      </c>
      <c r="P55" s="112" t="s">
        <v>25</v>
      </c>
      <c r="Q55" s="205"/>
      <c r="R55" s="216"/>
      <c r="S55" s="216"/>
      <c r="T55" s="216"/>
      <c r="U55" s="216"/>
      <c r="V55" s="113" t="s">
        <v>26</v>
      </c>
      <c r="W55" s="113" t="s">
        <v>27</v>
      </c>
      <c r="X55" s="108" t="s">
        <v>2</v>
      </c>
      <c r="Y55" s="109" t="s">
        <v>22</v>
      </c>
      <c r="Z55" s="110" t="s">
        <v>23</v>
      </c>
      <c r="AA55" s="148" t="s">
        <v>5</v>
      </c>
      <c r="AB55" s="111" t="s">
        <v>24</v>
      </c>
      <c r="AC55" s="112" t="s">
        <v>25</v>
      </c>
      <c r="AD55" s="108" t="s">
        <v>2</v>
      </c>
      <c r="AE55" s="109" t="s">
        <v>22</v>
      </c>
      <c r="AF55" s="110" t="s">
        <v>23</v>
      </c>
      <c r="AG55" s="148" t="s">
        <v>5</v>
      </c>
      <c r="AH55" s="111" t="s">
        <v>24</v>
      </c>
      <c r="AI55" s="112" t="s">
        <v>25</v>
      </c>
      <c r="AJ55" s="113" t="s">
        <v>27</v>
      </c>
      <c r="AK55" s="113" t="s">
        <v>26</v>
      </c>
      <c r="AL55" s="209"/>
      <c r="AM55" s="225"/>
      <c r="AN55" s="225"/>
      <c r="AO55" s="205"/>
    </row>
    <row r="56" spans="2:41" ht="15.6" customHeight="1" x14ac:dyDescent="0.2">
      <c r="B56" s="98">
        <v>11279</v>
      </c>
      <c r="C56" s="99" t="s">
        <v>28</v>
      </c>
      <c r="D56" s="98">
        <f>'Monthly Material Planning'!$D$8</f>
        <v>12.8</v>
      </c>
      <c r="E56" s="98">
        <f>'Cumulative Material Use'!$E$3</f>
        <v>0.96429999999999993</v>
      </c>
      <c r="F56" s="98">
        <f>'Cumulative Material Use'!$E$11</f>
        <v>0.2414</v>
      </c>
      <c r="G56" s="98">
        <f>'Cumulative Material Use'!$E$24</f>
        <v>0.50680000000000003</v>
      </c>
      <c r="H56" s="98">
        <f>'Cumulative Material Use'!$E$34</f>
        <v>0.96900000000000008</v>
      </c>
      <c r="I56" s="98"/>
      <c r="J56" s="84"/>
      <c r="K56" s="124">
        <f>E56*$K$6</f>
        <v>0</v>
      </c>
      <c r="L56" s="125">
        <f>F56*$L$6</f>
        <v>0</v>
      </c>
      <c r="M56" s="126">
        <f>G56*$M$6</f>
        <v>0</v>
      </c>
      <c r="N56" s="149">
        <f>H56*$N$6</f>
        <v>0</v>
      </c>
      <c r="O56" s="129">
        <f>I56*$O$6</f>
        <v>0</v>
      </c>
      <c r="P56" s="127">
        <f>SUM(K56:O56)</f>
        <v>0</v>
      </c>
      <c r="Q56" s="115"/>
      <c r="R56" s="127">
        <f>P56-Q56</f>
        <v>0</v>
      </c>
      <c r="S56" s="127">
        <f>R56/D56</f>
        <v>0</v>
      </c>
      <c r="T56" s="127"/>
      <c r="U56" s="127"/>
      <c r="V56" s="98"/>
      <c r="W56" s="98"/>
      <c r="X56" s="70">
        <f t="shared" ref="X56:X70" si="31">E56*$AD$6</f>
        <v>0</v>
      </c>
      <c r="Y56" s="74">
        <f t="shared" ref="Y56:Y70" si="32">F56*$AE$6</f>
        <v>0</v>
      </c>
      <c r="Z56" s="79">
        <f t="shared" ref="Z56:Z70" si="33">G56*$AF$6</f>
        <v>0</v>
      </c>
      <c r="AA56" s="149">
        <f t="shared" ref="AA56:AA73" si="34">H56*$AG$6</f>
        <v>0</v>
      </c>
      <c r="AB56" s="84">
        <f t="shared" ref="AB56:AB70" si="35">I56*$AH$6</f>
        <v>0</v>
      </c>
      <c r="AC56" s="114">
        <f>SUM(X56:AB56)</f>
        <v>0</v>
      </c>
      <c r="AD56" s="70"/>
      <c r="AE56" s="74"/>
      <c r="AF56" s="79"/>
      <c r="AG56" s="149"/>
      <c r="AH56" s="84"/>
      <c r="AI56" s="114">
        <f>SUM(AD56:AH56)</f>
        <v>0</v>
      </c>
      <c r="AJ56" s="116"/>
      <c r="AK56" s="117"/>
      <c r="AL56" s="107"/>
      <c r="AM56" s="118"/>
      <c r="AN56" s="118"/>
      <c r="AO56" s="118"/>
    </row>
    <row r="57" spans="2:41" ht="15.6" customHeight="1" x14ac:dyDescent="0.2">
      <c r="B57" s="98" t="s">
        <v>29</v>
      </c>
      <c r="C57" s="99" t="s">
        <v>30</v>
      </c>
      <c r="D57" s="98">
        <f>'Monthly Material Planning'!$D$9</f>
        <v>17</v>
      </c>
      <c r="E57" s="98">
        <f>'Cumulative Material Use'!$E$4</f>
        <v>0.2646</v>
      </c>
      <c r="F57" s="98"/>
      <c r="G57" s="98"/>
      <c r="H57" s="98">
        <f>'Cumulative Material Use'!$E$38</f>
        <v>6.3600000000000004E-2</v>
      </c>
      <c r="I57" s="98"/>
      <c r="J57" s="84"/>
      <c r="K57" s="124">
        <f t="shared" ref="K57:K73" si="36">E57*$K$6</f>
        <v>0</v>
      </c>
      <c r="L57" s="125">
        <f t="shared" ref="L57:L73" si="37">F57*$L$6</f>
        <v>0</v>
      </c>
      <c r="M57" s="126">
        <f t="shared" ref="M57:M73" si="38">G57*$M$6</f>
        <v>0</v>
      </c>
      <c r="N57" s="149">
        <f t="shared" ref="N57:N73" si="39">H57*$N$6</f>
        <v>0</v>
      </c>
      <c r="O57" s="129">
        <f t="shared" ref="O57:O73" si="40">I57*$O$6</f>
        <v>0</v>
      </c>
      <c r="P57" s="127">
        <f t="shared" ref="P57:P73" si="41">SUM(K57:O57)</f>
        <v>0</v>
      </c>
      <c r="Q57" s="115"/>
      <c r="R57" s="127">
        <f t="shared" ref="R57:R73" si="42">P57-Q57</f>
        <v>0</v>
      </c>
      <c r="S57" s="127">
        <f t="shared" ref="S57:S73" si="43">R57/D57</f>
        <v>0</v>
      </c>
      <c r="T57" s="127"/>
      <c r="U57" s="127"/>
      <c r="V57" s="98"/>
      <c r="W57" s="98"/>
      <c r="X57" s="70">
        <f t="shared" si="31"/>
        <v>0</v>
      </c>
      <c r="Y57" s="74">
        <f t="shared" si="32"/>
        <v>0</v>
      </c>
      <c r="Z57" s="79">
        <f t="shared" si="33"/>
        <v>0</v>
      </c>
      <c r="AA57" s="149">
        <f t="shared" si="34"/>
        <v>0</v>
      </c>
      <c r="AB57" s="84">
        <f t="shared" si="35"/>
        <v>0</v>
      </c>
      <c r="AC57" s="114">
        <f t="shared" ref="AC57:AC73" si="44">SUM(X57:AB57)</f>
        <v>0</v>
      </c>
      <c r="AD57" s="70"/>
      <c r="AE57" s="74"/>
      <c r="AF57" s="79"/>
      <c r="AG57" s="149"/>
      <c r="AH57" s="84"/>
      <c r="AI57" s="114">
        <f t="shared" ref="AI57:AI73" si="45">SUM(AD57:AH57)</f>
        <v>0</v>
      </c>
      <c r="AJ57" s="117"/>
      <c r="AK57" s="117"/>
      <c r="AL57" s="107"/>
      <c r="AM57" s="118"/>
      <c r="AN57" s="118"/>
      <c r="AO57" s="118"/>
    </row>
    <row r="58" spans="2:41" ht="15.6" customHeight="1" x14ac:dyDescent="0.2">
      <c r="B58" s="98">
        <v>10154</v>
      </c>
      <c r="C58" s="99" t="s">
        <v>31</v>
      </c>
      <c r="D58" s="98">
        <f>'Monthly Material Planning'!$D$10</f>
        <v>13.5</v>
      </c>
      <c r="E58" s="98">
        <f>'Cumulative Material Use'!$E$5</f>
        <v>5.3999999999999999E-2</v>
      </c>
      <c r="F58" s="98">
        <f>'Cumulative Material Use'!$E$13</f>
        <v>0.1646</v>
      </c>
      <c r="G58" s="98">
        <f>'Cumulative Material Use'!$E$20</f>
        <v>0.68471000000000004</v>
      </c>
      <c r="H58" s="98">
        <f>'Cumulative Material Use'!$E$35</f>
        <v>0.18989999999999999</v>
      </c>
      <c r="I58" s="98">
        <f>'Cumulative Material Use'!$E$31</f>
        <v>5.7600000000000005E-2</v>
      </c>
      <c r="J58" s="84"/>
      <c r="K58" s="124">
        <f t="shared" si="36"/>
        <v>0</v>
      </c>
      <c r="L58" s="125">
        <f t="shared" si="37"/>
        <v>0</v>
      </c>
      <c r="M58" s="126">
        <f t="shared" si="38"/>
        <v>0</v>
      </c>
      <c r="N58" s="149">
        <f t="shared" si="39"/>
        <v>0</v>
      </c>
      <c r="O58" s="129">
        <f t="shared" si="40"/>
        <v>0</v>
      </c>
      <c r="P58" s="127">
        <f t="shared" si="41"/>
        <v>0</v>
      </c>
      <c r="Q58" s="115"/>
      <c r="R58" s="127">
        <f t="shared" si="42"/>
        <v>0</v>
      </c>
      <c r="S58" s="127">
        <f t="shared" si="43"/>
        <v>0</v>
      </c>
      <c r="T58" s="127"/>
      <c r="U58" s="127"/>
      <c r="V58" s="98"/>
      <c r="W58" s="98"/>
      <c r="X58" s="70">
        <f t="shared" si="31"/>
        <v>0</v>
      </c>
      <c r="Y58" s="74">
        <f t="shared" si="32"/>
        <v>0</v>
      </c>
      <c r="Z58" s="79">
        <f t="shared" si="33"/>
        <v>0</v>
      </c>
      <c r="AA58" s="149">
        <f t="shared" si="34"/>
        <v>0</v>
      </c>
      <c r="AB58" s="84">
        <f t="shared" si="35"/>
        <v>0</v>
      </c>
      <c r="AC58" s="114">
        <f t="shared" si="44"/>
        <v>0</v>
      </c>
      <c r="AD58" s="70"/>
      <c r="AE58" s="74"/>
      <c r="AF58" s="79"/>
      <c r="AG58" s="149"/>
      <c r="AH58" s="84"/>
      <c r="AI58" s="114">
        <f t="shared" si="45"/>
        <v>0</v>
      </c>
      <c r="AJ58" s="117"/>
      <c r="AK58" s="117"/>
      <c r="AL58" s="107"/>
      <c r="AM58" s="118"/>
      <c r="AN58" s="118"/>
      <c r="AO58" s="118"/>
    </row>
    <row r="59" spans="2:41" ht="15.6" customHeight="1" x14ac:dyDescent="0.2">
      <c r="B59" s="98">
        <v>10155</v>
      </c>
      <c r="C59" s="99" t="s">
        <v>32</v>
      </c>
      <c r="D59" s="98">
        <f>'Monthly Material Planning'!$D$11</f>
        <v>18.100000000000001</v>
      </c>
      <c r="E59" s="98">
        <f>'Cumulative Material Use'!$E$6</f>
        <v>0.66821000000000008</v>
      </c>
      <c r="F59" s="98">
        <f>'Cumulative Material Use'!$E$15</f>
        <v>0.50700999999999996</v>
      </c>
      <c r="G59" s="98">
        <f>'Cumulative Material Use'!$E$26</f>
        <v>7.8899999999999998E-2</v>
      </c>
      <c r="H59" s="98">
        <f>'Cumulative Material Use'!$E$36</f>
        <v>0.4622</v>
      </c>
      <c r="I59" s="98"/>
      <c r="J59" s="84"/>
      <c r="K59" s="124">
        <f t="shared" si="36"/>
        <v>0</v>
      </c>
      <c r="L59" s="125">
        <f t="shared" si="37"/>
        <v>0</v>
      </c>
      <c r="M59" s="126">
        <f t="shared" si="38"/>
        <v>0</v>
      </c>
      <c r="N59" s="149">
        <f t="shared" si="39"/>
        <v>0</v>
      </c>
      <c r="O59" s="129">
        <f t="shared" si="40"/>
        <v>0</v>
      </c>
      <c r="P59" s="127">
        <f t="shared" si="41"/>
        <v>0</v>
      </c>
      <c r="Q59" s="115"/>
      <c r="R59" s="127">
        <f t="shared" si="42"/>
        <v>0</v>
      </c>
      <c r="S59" s="127">
        <f t="shared" si="43"/>
        <v>0</v>
      </c>
      <c r="T59" s="127"/>
      <c r="U59" s="127"/>
      <c r="V59" s="98"/>
      <c r="W59" s="98"/>
      <c r="X59" s="70">
        <f t="shared" si="31"/>
        <v>0</v>
      </c>
      <c r="Y59" s="74">
        <f t="shared" si="32"/>
        <v>0</v>
      </c>
      <c r="Z59" s="79">
        <f t="shared" si="33"/>
        <v>0</v>
      </c>
      <c r="AA59" s="149">
        <f t="shared" si="34"/>
        <v>0</v>
      </c>
      <c r="AB59" s="84">
        <f t="shared" si="35"/>
        <v>0</v>
      </c>
      <c r="AC59" s="114">
        <f t="shared" si="44"/>
        <v>0</v>
      </c>
      <c r="AD59" s="70"/>
      <c r="AE59" s="74"/>
      <c r="AF59" s="79"/>
      <c r="AG59" s="149"/>
      <c r="AH59" s="84"/>
      <c r="AI59" s="114">
        <f t="shared" si="45"/>
        <v>0</v>
      </c>
      <c r="AJ59" s="117"/>
      <c r="AK59" s="117"/>
      <c r="AL59" s="107"/>
      <c r="AM59" s="118"/>
      <c r="AN59" s="118"/>
      <c r="AO59" s="118"/>
    </row>
    <row r="60" spans="2:41" ht="15.6" customHeight="1" x14ac:dyDescent="0.2">
      <c r="B60" s="98">
        <v>11332</v>
      </c>
      <c r="C60" s="99" t="s">
        <v>33</v>
      </c>
      <c r="D60" s="98">
        <f>'Monthly Material Planning'!$D$12</f>
        <v>31.7</v>
      </c>
      <c r="E60" s="98">
        <f>'Cumulative Material Use'!$E$7</f>
        <v>0.51670000000000005</v>
      </c>
      <c r="F60" s="98">
        <f>'Cumulative Material Use'!$E$16</f>
        <v>0.52669999999999995</v>
      </c>
      <c r="G60" s="98"/>
      <c r="H60" s="98">
        <f>'Cumulative Material Use'!$E$42</f>
        <v>0.58520000000000005</v>
      </c>
      <c r="I60" s="98"/>
      <c r="J60" s="84"/>
      <c r="K60" s="124">
        <f t="shared" si="36"/>
        <v>0</v>
      </c>
      <c r="L60" s="125">
        <f t="shared" si="37"/>
        <v>0</v>
      </c>
      <c r="M60" s="126">
        <f t="shared" si="38"/>
        <v>0</v>
      </c>
      <c r="N60" s="149">
        <f t="shared" si="39"/>
        <v>0</v>
      </c>
      <c r="O60" s="129">
        <f t="shared" si="40"/>
        <v>0</v>
      </c>
      <c r="P60" s="127">
        <f t="shared" si="41"/>
        <v>0</v>
      </c>
      <c r="Q60" s="115"/>
      <c r="R60" s="127">
        <f t="shared" si="42"/>
        <v>0</v>
      </c>
      <c r="S60" s="127">
        <f t="shared" si="43"/>
        <v>0</v>
      </c>
      <c r="T60" s="127"/>
      <c r="U60" s="127"/>
      <c r="V60" s="98"/>
      <c r="W60" s="98"/>
      <c r="X60" s="70">
        <f t="shared" si="31"/>
        <v>0</v>
      </c>
      <c r="Y60" s="74">
        <f t="shared" si="32"/>
        <v>0</v>
      </c>
      <c r="Z60" s="79">
        <f t="shared" si="33"/>
        <v>0</v>
      </c>
      <c r="AA60" s="149">
        <f t="shared" si="34"/>
        <v>0</v>
      </c>
      <c r="AB60" s="84">
        <f t="shared" si="35"/>
        <v>0</v>
      </c>
      <c r="AC60" s="114">
        <f t="shared" si="44"/>
        <v>0</v>
      </c>
      <c r="AD60" s="70"/>
      <c r="AE60" s="74"/>
      <c r="AF60" s="79"/>
      <c r="AG60" s="149"/>
      <c r="AH60" s="84"/>
      <c r="AI60" s="114">
        <f t="shared" si="45"/>
        <v>0</v>
      </c>
      <c r="AJ60" s="117"/>
      <c r="AK60" s="117"/>
      <c r="AL60" s="107"/>
      <c r="AM60" s="118"/>
      <c r="AN60" s="118"/>
      <c r="AO60" s="118"/>
    </row>
    <row r="61" spans="2:41" ht="15.6" customHeight="1" x14ac:dyDescent="0.2">
      <c r="B61" s="98" t="s">
        <v>34</v>
      </c>
      <c r="C61" s="99" t="s">
        <v>35</v>
      </c>
      <c r="D61" s="98">
        <f>'Monthly Material Planning'!$D$13</f>
        <v>15.6</v>
      </c>
      <c r="E61" s="98">
        <f>'Cumulative Material Use'!$E$8</f>
        <v>1.08</v>
      </c>
      <c r="F61" s="98"/>
      <c r="G61" s="98"/>
      <c r="H61" s="98">
        <f>'Cumulative Material Use'!$E$39</f>
        <v>0.82130000000000003</v>
      </c>
      <c r="I61" s="98"/>
      <c r="J61" s="84"/>
      <c r="K61" s="124">
        <f t="shared" si="36"/>
        <v>0</v>
      </c>
      <c r="L61" s="125">
        <f t="shared" si="37"/>
        <v>0</v>
      </c>
      <c r="M61" s="126">
        <f t="shared" si="38"/>
        <v>0</v>
      </c>
      <c r="N61" s="149">
        <f t="shared" si="39"/>
        <v>0</v>
      </c>
      <c r="O61" s="129">
        <f t="shared" si="40"/>
        <v>0</v>
      </c>
      <c r="P61" s="127">
        <f t="shared" si="41"/>
        <v>0</v>
      </c>
      <c r="Q61" s="115"/>
      <c r="R61" s="127">
        <f t="shared" si="42"/>
        <v>0</v>
      </c>
      <c r="S61" s="127">
        <f t="shared" si="43"/>
        <v>0</v>
      </c>
      <c r="T61" s="127"/>
      <c r="U61" s="127"/>
      <c r="V61" s="98"/>
      <c r="W61" s="98"/>
      <c r="X61" s="70">
        <f t="shared" si="31"/>
        <v>0</v>
      </c>
      <c r="Y61" s="74">
        <f t="shared" si="32"/>
        <v>0</v>
      </c>
      <c r="Z61" s="79">
        <f t="shared" si="33"/>
        <v>0</v>
      </c>
      <c r="AA61" s="149">
        <f t="shared" si="34"/>
        <v>0</v>
      </c>
      <c r="AB61" s="84">
        <f t="shared" si="35"/>
        <v>0</v>
      </c>
      <c r="AC61" s="114">
        <f t="shared" si="44"/>
        <v>0</v>
      </c>
      <c r="AD61" s="70"/>
      <c r="AE61" s="74"/>
      <c r="AF61" s="79"/>
      <c r="AG61" s="149"/>
      <c r="AH61" s="84"/>
      <c r="AI61" s="114">
        <f t="shared" si="45"/>
        <v>0</v>
      </c>
      <c r="AJ61" s="117"/>
      <c r="AK61" s="117"/>
      <c r="AL61" s="107"/>
      <c r="AM61" s="118"/>
      <c r="AN61" s="118"/>
      <c r="AO61" s="118"/>
    </row>
    <row r="62" spans="2:41" ht="15.6" customHeight="1" x14ac:dyDescent="0.2">
      <c r="B62" s="100">
        <v>11090</v>
      </c>
      <c r="C62" s="101" t="s">
        <v>36</v>
      </c>
      <c r="D62" s="98">
        <f>'Monthly Material Planning'!$D$14</f>
        <v>12.7</v>
      </c>
      <c r="E62" s="98">
        <f>'Cumulative Material Use'!$E$9</f>
        <v>3.56E-2</v>
      </c>
      <c r="F62" s="98">
        <f>'Cumulative Material Use'!$E$14</f>
        <v>7.2139999999999996E-2</v>
      </c>
      <c r="G62" s="98">
        <f>'Cumulative Material Use'!$E$23</f>
        <v>1.154E-2</v>
      </c>
      <c r="H62" s="98">
        <f>'Cumulative Material Use'!$E$40</f>
        <v>1.154E-2</v>
      </c>
      <c r="I62" s="98">
        <f>'Cumulative Material Use'!$E$30</f>
        <v>0.40644999999999998</v>
      </c>
      <c r="J62" s="84"/>
      <c r="K62" s="124">
        <f t="shared" si="36"/>
        <v>0</v>
      </c>
      <c r="L62" s="125">
        <f t="shared" si="37"/>
        <v>0</v>
      </c>
      <c r="M62" s="126">
        <f t="shared" si="38"/>
        <v>0</v>
      </c>
      <c r="N62" s="149">
        <f t="shared" si="39"/>
        <v>0</v>
      </c>
      <c r="O62" s="129">
        <f t="shared" si="40"/>
        <v>0</v>
      </c>
      <c r="P62" s="127">
        <f t="shared" si="41"/>
        <v>0</v>
      </c>
      <c r="Q62" s="115"/>
      <c r="R62" s="127">
        <f t="shared" si="42"/>
        <v>0</v>
      </c>
      <c r="S62" s="127">
        <f t="shared" si="43"/>
        <v>0</v>
      </c>
      <c r="T62" s="127"/>
      <c r="U62" s="127"/>
      <c r="V62" s="98"/>
      <c r="W62" s="98"/>
      <c r="X62" s="70">
        <f t="shared" si="31"/>
        <v>0</v>
      </c>
      <c r="Y62" s="74">
        <f t="shared" si="32"/>
        <v>0</v>
      </c>
      <c r="Z62" s="79">
        <f t="shared" si="33"/>
        <v>0</v>
      </c>
      <c r="AA62" s="149">
        <f t="shared" si="34"/>
        <v>0</v>
      </c>
      <c r="AB62" s="84">
        <f t="shared" si="35"/>
        <v>0</v>
      </c>
      <c r="AC62" s="114">
        <f t="shared" si="44"/>
        <v>0</v>
      </c>
      <c r="AD62" s="70"/>
      <c r="AE62" s="74"/>
      <c r="AF62" s="79"/>
      <c r="AG62" s="149"/>
      <c r="AH62" s="84"/>
      <c r="AI62" s="114">
        <f t="shared" si="45"/>
        <v>0</v>
      </c>
      <c r="AJ62" s="117"/>
      <c r="AK62" s="117"/>
      <c r="AL62" s="107"/>
      <c r="AM62" s="118"/>
      <c r="AN62" s="118"/>
      <c r="AO62" s="118"/>
    </row>
    <row r="63" spans="2:41" ht="15.6" customHeight="1" x14ac:dyDescent="0.2">
      <c r="B63" s="98">
        <v>10073</v>
      </c>
      <c r="C63" s="99" t="s">
        <v>37</v>
      </c>
      <c r="D63" s="98">
        <f>'Monthly Material Planning'!$D$15</f>
        <v>0</v>
      </c>
      <c r="E63" s="98">
        <f>'Cumulative Material Use'!$E$10</f>
        <v>0.11</v>
      </c>
      <c r="F63" s="98"/>
      <c r="G63" s="98"/>
      <c r="H63" s="98">
        <f>'Cumulative Material Use'!$E$41</f>
        <v>0.11</v>
      </c>
      <c r="I63" s="98"/>
      <c r="J63" s="84"/>
      <c r="K63" s="124">
        <f t="shared" si="36"/>
        <v>0</v>
      </c>
      <c r="L63" s="125">
        <f t="shared" si="37"/>
        <v>0</v>
      </c>
      <c r="M63" s="126">
        <f t="shared" si="38"/>
        <v>0</v>
      </c>
      <c r="N63" s="149">
        <f t="shared" si="39"/>
        <v>0</v>
      </c>
      <c r="O63" s="129">
        <f t="shared" si="40"/>
        <v>0</v>
      </c>
      <c r="P63" s="127">
        <f t="shared" si="41"/>
        <v>0</v>
      </c>
      <c r="Q63" s="115"/>
      <c r="R63" s="127">
        <f t="shared" si="42"/>
        <v>0</v>
      </c>
      <c r="S63" s="127" t="e">
        <f t="shared" si="43"/>
        <v>#DIV/0!</v>
      </c>
      <c r="T63" s="127"/>
      <c r="U63" s="127"/>
      <c r="V63" s="98"/>
      <c r="W63" s="98"/>
      <c r="X63" s="70">
        <f t="shared" si="31"/>
        <v>0</v>
      </c>
      <c r="Y63" s="74">
        <f t="shared" si="32"/>
        <v>0</v>
      </c>
      <c r="Z63" s="79">
        <f t="shared" si="33"/>
        <v>0</v>
      </c>
      <c r="AA63" s="149">
        <f t="shared" si="34"/>
        <v>0</v>
      </c>
      <c r="AB63" s="84">
        <f t="shared" si="35"/>
        <v>0</v>
      </c>
      <c r="AC63" s="114">
        <f t="shared" si="44"/>
        <v>0</v>
      </c>
      <c r="AD63" s="70"/>
      <c r="AE63" s="74"/>
      <c r="AF63" s="79"/>
      <c r="AG63" s="149"/>
      <c r="AH63" s="84"/>
      <c r="AI63" s="114">
        <f t="shared" si="45"/>
        <v>0</v>
      </c>
      <c r="AJ63" s="117"/>
      <c r="AK63" s="117"/>
      <c r="AL63" s="107"/>
      <c r="AM63" s="118"/>
      <c r="AN63" s="118"/>
      <c r="AO63" s="118"/>
    </row>
    <row r="64" spans="2:41" ht="15.6" customHeight="1" x14ac:dyDescent="0.2">
      <c r="B64" s="98">
        <v>10970</v>
      </c>
      <c r="C64" s="99" t="s">
        <v>38</v>
      </c>
      <c r="D64" s="98">
        <f>'Monthly Material Planning'!$D$16</f>
        <v>13.6</v>
      </c>
      <c r="E64" s="98"/>
      <c r="F64" s="98">
        <f>'Cumulative Material Use'!$E$12</f>
        <v>0.4103</v>
      </c>
      <c r="G64" s="98"/>
      <c r="H64" s="98"/>
      <c r="I64" s="98"/>
      <c r="J64" s="84"/>
      <c r="K64" s="124">
        <f t="shared" si="36"/>
        <v>0</v>
      </c>
      <c r="L64" s="125">
        <f t="shared" si="37"/>
        <v>0</v>
      </c>
      <c r="M64" s="126">
        <f t="shared" si="38"/>
        <v>0</v>
      </c>
      <c r="N64" s="149">
        <f t="shared" si="39"/>
        <v>0</v>
      </c>
      <c r="O64" s="129">
        <f t="shared" si="40"/>
        <v>0</v>
      </c>
      <c r="P64" s="127">
        <f t="shared" si="41"/>
        <v>0</v>
      </c>
      <c r="Q64" s="115"/>
      <c r="R64" s="127">
        <f t="shared" si="42"/>
        <v>0</v>
      </c>
      <c r="S64" s="127">
        <f t="shared" si="43"/>
        <v>0</v>
      </c>
      <c r="T64" s="127"/>
      <c r="U64" s="127"/>
      <c r="V64" s="98"/>
      <c r="W64" s="98"/>
      <c r="X64" s="70">
        <f t="shared" si="31"/>
        <v>0</v>
      </c>
      <c r="Y64" s="74">
        <f t="shared" si="32"/>
        <v>0</v>
      </c>
      <c r="Z64" s="79">
        <f t="shared" si="33"/>
        <v>0</v>
      </c>
      <c r="AA64" s="149">
        <f t="shared" si="34"/>
        <v>0</v>
      </c>
      <c r="AB64" s="84">
        <f t="shared" si="35"/>
        <v>0</v>
      </c>
      <c r="AC64" s="114">
        <f t="shared" si="44"/>
        <v>0</v>
      </c>
      <c r="AD64" s="70"/>
      <c r="AE64" s="74"/>
      <c r="AF64" s="79"/>
      <c r="AG64" s="149"/>
      <c r="AH64" s="84"/>
      <c r="AI64" s="114">
        <f t="shared" si="45"/>
        <v>0</v>
      </c>
      <c r="AJ64" s="117"/>
      <c r="AK64" s="117"/>
      <c r="AL64" s="107"/>
      <c r="AM64" s="118"/>
      <c r="AN64" s="118"/>
      <c r="AO64" s="118"/>
    </row>
    <row r="65" spans="2:41" ht="15.6" customHeight="1" x14ac:dyDescent="0.2">
      <c r="B65" s="98" t="s">
        <v>39</v>
      </c>
      <c r="C65" s="99" t="s">
        <v>40</v>
      </c>
      <c r="D65" s="98">
        <f>'Monthly Material Planning'!$D$17</f>
        <v>10</v>
      </c>
      <c r="E65" s="98"/>
      <c r="F65" s="98">
        <f>'Cumulative Material Use'!$E$17</f>
        <v>0.55556000000000005</v>
      </c>
      <c r="G65" s="98"/>
      <c r="H65" s="98"/>
      <c r="I65" s="98"/>
      <c r="J65" s="84"/>
      <c r="K65" s="124">
        <f t="shared" si="36"/>
        <v>0</v>
      </c>
      <c r="L65" s="125">
        <f t="shared" si="37"/>
        <v>0</v>
      </c>
      <c r="M65" s="126">
        <f t="shared" si="38"/>
        <v>0</v>
      </c>
      <c r="N65" s="149">
        <f t="shared" si="39"/>
        <v>0</v>
      </c>
      <c r="O65" s="129">
        <f t="shared" si="40"/>
        <v>0</v>
      </c>
      <c r="P65" s="127">
        <f t="shared" si="41"/>
        <v>0</v>
      </c>
      <c r="Q65" s="115"/>
      <c r="R65" s="127">
        <f t="shared" si="42"/>
        <v>0</v>
      </c>
      <c r="S65" s="127">
        <f t="shared" si="43"/>
        <v>0</v>
      </c>
      <c r="T65" s="127"/>
      <c r="U65" s="127"/>
      <c r="V65" s="98"/>
      <c r="W65" s="98"/>
      <c r="X65" s="70">
        <f t="shared" si="31"/>
        <v>0</v>
      </c>
      <c r="Y65" s="74">
        <f t="shared" si="32"/>
        <v>0</v>
      </c>
      <c r="Z65" s="79">
        <f t="shared" si="33"/>
        <v>0</v>
      </c>
      <c r="AA65" s="149">
        <f t="shared" si="34"/>
        <v>0</v>
      </c>
      <c r="AB65" s="84">
        <f t="shared" si="35"/>
        <v>0</v>
      </c>
      <c r="AC65" s="114">
        <f t="shared" si="44"/>
        <v>0</v>
      </c>
      <c r="AD65" s="70"/>
      <c r="AE65" s="74"/>
      <c r="AF65" s="79"/>
      <c r="AG65" s="149"/>
      <c r="AH65" s="84"/>
      <c r="AI65" s="114">
        <f t="shared" si="45"/>
        <v>0</v>
      </c>
      <c r="AJ65" s="117"/>
      <c r="AK65" s="117"/>
      <c r="AL65" s="107"/>
      <c r="AM65" s="118"/>
      <c r="AN65" s="118"/>
      <c r="AO65" s="118"/>
    </row>
    <row r="66" spans="2:41" ht="27" customHeight="1" x14ac:dyDescent="0.2">
      <c r="B66" s="100">
        <v>11442</v>
      </c>
      <c r="C66" s="102" t="s">
        <v>41</v>
      </c>
      <c r="D66" s="98">
        <f>'Monthly Material Planning'!$D$18</f>
        <v>17.7</v>
      </c>
      <c r="E66" s="98"/>
      <c r="F66" s="98">
        <f>'Cumulative Material Use'!$E$18</f>
        <v>7.4340000000000003E-2</v>
      </c>
      <c r="G66" s="98">
        <f>'Cumulative Material Use'!$E$21</f>
        <v>7.4340000000000003E-2</v>
      </c>
      <c r="H66" s="98"/>
      <c r="I66" s="98"/>
      <c r="J66" s="84"/>
      <c r="K66" s="124">
        <f t="shared" si="36"/>
        <v>0</v>
      </c>
      <c r="L66" s="125">
        <f t="shared" si="37"/>
        <v>0</v>
      </c>
      <c r="M66" s="126">
        <f t="shared" si="38"/>
        <v>0</v>
      </c>
      <c r="N66" s="149">
        <f t="shared" si="39"/>
        <v>0</v>
      </c>
      <c r="O66" s="129">
        <f t="shared" si="40"/>
        <v>0</v>
      </c>
      <c r="P66" s="127">
        <f t="shared" si="41"/>
        <v>0</v>
      </c>
      <c r="Q66" s="115"/>
      <c r="R66" s="127">
        <f t="shared" si="42"/>
        <v>0</v>
      </c>
      <c r="S66" s="127">
        <f t="shared" si="43"/>
        <v>0</v>
      </c>
      <c r="T66" s="127"/>
      <c r="U66" s="127"/>
      <c r="V66" s="98"/>
      <c r="W66" s="98"/>
      <c r="X66" s="70">
        <f t="shared" si="31"/>
        <v>0</v>
      </c>
      <c r="Y66" s="74">
        <f t="shared" si="32"/>
        <v>0</v>
      </c>
      <c r="Z66" s="79">
        <f t="shared" si="33"/>
        <v>0</v>
      </c>
      <c r="AA66" s="149">
        <f t="shared" si="34"/>
        <v>0</v>
      </c>
      <c r="AB66" s="84">
        <f t="shared" si="35"/>
        <v>0</v>
      </c>
      <c r="AC66" s="114">
        <f t="shared" si="44"/>
        <v>0</v>
      </c>
      <c r="AD66" s="70"/>
      <c r="AE66" s="74"/>
      <c r="AF66" s="79"/>
      <c r="AG66" s="149"/>
      <c r="AH66" s="84"/>
      <c r="AI66" s="114">
        <f t="shared" si="45"/>
        <v>0</v>
      </c>
      <c r="AJ66" s="117"/>
      <c r="AK66" s="117"/>
      <c r="AL66" s="107"/>
      <c r="AM66" s="118"/>
      <c r="AN66" s="118"/>
      <c r="AO66" s="118"/>
    </row>
    <row r="67" spans="2:41" ht="15.6" customHeight="1" x14ac:dyDescent="0.2">
      <c r="B67" s="98">
        <v>11515</v>
      </c>
      <c r="C67" s="99" t="s">
        <v>42</v>
      </c>
      <c r="D67" s="98">
        <f>'Monthly Material Planning'!$D$19</f>
        <v>9.16</v>
      </c>
      <c r="E67" s="98"/>
      <c r="F67" s="98"/>
      <c r="G67" s="98">
        <f>'Cumulative Material Use'!$E$19</f>
        <v>0.71702999999999995</v>
      </c>
      <c r="H67" s="98"/>
      <c r="I67" s="98"/>
      <c r="J67" s="84"/>
      <c r="K67" s="124">
        <f t="shared" si="36"/>
        <v>0</v>
      </c>
      <c r="L67" s="125">
        <f t="shared" si="37"/>
        <v>0</v>
      </c>
      <c r="M67" s="126">
        <f t="shared" si="38"/>
        <v>0</v>
      </c>
      <c r="N67" s="149">
        <f t="shared" si="39"/>
        <v>0</v>
      </c>
      <c r="O67" s="129">
        <f t="shared" si="40"/>
        <v>0</v>
      </c>
      <c r="P67" s="127">
        <f t="shared" si="41"/>
        <v>0</v>
      </c>
      <c r="Q67" s="115"/>
      <c r="R67" s="127">
        <f t="shared" si="42"/>
        <v>0</v>
      </c>
      <c r="S67" s="127">
        <f t="shared" si="43"/>
        <v>0</v>
      </c>
      <c r="T67" s="127"/>
      <c r="U67" s="127"/>
      <c r="V67" s="98"/>
      <c r="W67" s="98"/>
      <c r="X67" s="70">
        <f t="shared" si="31"/>
        <v>0</v>
      </c>
      <c r="Y67" s="74">
        <f t="shared" si="32"/>
        <v>0</v>
      </c>
      <c r="Z67" s="79">
        <f t="shared" si="33"/>
        <v>0</v>
      </c>
      <c r="AA67" s="149">
        <f t="shared" si="34"/>
        <v>0</v>
      </c>
      <c r="AB67" s="84">
        <f t="shared" si="35"/>
        <v>0</v>
      </c>
      <c r="AC67" s="114">
        <f t="shared" si="44"/>
        <v>0</v>
      </c>
      <c r="AD67" s="70"/>
      <c r="AE67" s="74"/>
      <c r="AF67" s="79"/>
      <c r="AG67" s="149"/>
      <c r="AH67" s="84"/>
      <c r="AI67" s="114">
        <f t="shared" si="45"/>
        <v>0</v>
      </c>
      <c r="AJ67" s="117"/>
      <c r="AK67" s="117"/>
      <c r="AL67" s="107"/>
      <c r="AM67" s="118"/>
      <c r="AN67" s="118"/>
      <c r="AO67" s="118"/>
    </row>
    <row r="68" spans="2:41" ht="15.6" customHeight="1" x14ac:dyDescent="0.2">
      <c r="B68" s="98" t="s">
        <v>43</v>
      </c>
      <c r="C68" s="99" t="s">
        <v>44</v>
      </c>
      <c r="D68" s="98">
        <f>'Monthly Material Planning'!$D$20</f>
        <v>3.55</v>
      </c>
      <c r="E68" s="98"/>
      <c r="F68" s="98"/>
      <c r="G68" s="98">
        <f>'Cumulative Material Use'!$E$22</f>
        <v>0.1961</v>
      </c>
      <c r="H68" s="98"/>
      <c r="I68" s="98"/>
      <c r="J68" s="84"/>
      <c r="K68" s="124">
        <f t="shared" si="36"/>
        <v>0</v>
      </c>
      <c r="L68" s="125">
        <f t="shared" si="37"/>
        <v>0</v>
      </c>
      <c r="M68" s="126">
        <f t="shared" si="38"/>
        <v>0</v>
      </c>
      <c r="N68" s="149">
        <f t="shared" si="39"/>
        <v>0</v>
      </c>
      <c r="O68" s="129">
        <f t="shared" si="40"/>
        <v>0</v>
      </c>
      <c r="P68" s="127">
        <f t="shared" si="41"/>
        <v>0</v>
      </c>
      <c r="Q68" s="115"/>
      <c r="R68" s="127">
        <f t="shared" si="42"/>
        <v>0</v>
      </c>
      <c r="S68" s="127">
        <f t="shared" si="43"/>
        <v>0</v>
      </c>
      <c r="T68" s="127"/>
      <c r="U68" s="127"/>
      <c r="V68" s="98"/>
      <c r="W68" s="98"/>
      <c r="X68" s="70">
        <f t="shared" si="31"/>
        <v>0</v>
      </c>
      <c r="Y68" s="74">
        <f t="shared" si="32"/>
        <v>0</v>
      </c>
      <c r="Z68" s="79">
        <f t="shared" si="33"/>
        <v>0</v>
      </c>
      <c r="AA68" s="149">
        <f t="shared" si="34"/>
        <v>0</v>
      </c>
      <c r="AB68" s="84">
        <f t="shared" si="35"/>
        <v>0</v>
      </c>
      <c r="AC68" s="114">
        <f t="shared" si="44"/>
        <v>0</v>
      </c>
      <c r="AD68" s="70"/>
      <c r="AE68" s="74"/>
      <c r="AF68" s="79"/>
      <c r="AG68" s="149"/>
      <c r="AH68" s="84"/>
      <c r="AI68" s="114">
        <f t="shared" si="45"/>
        <v>0</v>
      </c>
      <c r="AJ68" s="117"/>
      <c r="AK68" s="117"/>
      <c r="AL68" s="107"/>
      <c r="AM68" s="118"/>
      <c r="AN68" s="118"/>
      <c r="AO68" s="118"/>
    </row>
    <row r="69" spans="2:41" ht="15.6" customHeight="1" x14ac:dyDescent="0.2">
      <c r="B69" s="98" t="s">
        <v>45</v>
      </c>
      <c r="C69" s="99" t="s">
        <v>46</v>
      </c>
      <c r="D69" s="98">
        <f>'Monthly Material Planning'!$D$21</f>
        <v>29.8</v>
      </c>
      <c r="E69" s="98"/>
      <c r="F69" s="98"/>
      <c r="G69" s="98">
        <f>'Cumulative Material Use'!$E$25</f>
        <v>0.44950000000000001</v>
      </c>
      <c r="H69" s="98"/>
      <c r="I69" s="98">
        <f>'Cumulative Material Use'!$E$32</f>
        <v>2.6599999999999999E-2</v>
      </c>
      <c r="J69" s="84"/>
      <c r="K69" s="124">
        <f t="shared" si="36"/>
        <v>0</v>
      </c>
      <c r="L69" s="125">
        <f t="shared" si="37"/>
        <v>0</v>
      </c>
      <c r="M69" s="126">
        <f t="shared" si="38"/>
        <v>0</v>
      </c>
      <c r="N69" s="149">
        <f t="shared" si="39"/>
        <v>0</v>
      </c>
      <c r="O69" s="129">
        <f t="shared" si="40"/>
        <v>0</v>
      </c>
      <c r="P69" s="127">
        <f t="shared" si="41"/>
        <v>0</v>
      </c>
      <c r="Q69" s="115"/>
      <c r="R69" s="127">
        <f t="shared" si="42"/>
        <v>0</v>
      </c>
      <c r="S69" s="127">
        <f t="shared" si="43"/>
        <v>0</v>
      </c>
      <c r="T69" s="127"/>
      <c r="U69" s="127"/>
      <c r="V69" s="98"/>
      <c r="W69" s="98"/>
      <c r="X69" s="70">
        <f t="shared" si="31"/>
        <v>0</v>
      </c>
      <c r="Y69" s="74">
        <f t="shared" si="32"/>
        <v>0</v>
      </c>
      <c r="Z69" s="79">
        <f t="shared" si="33"/>
        <v>0</v>
      </c>
      <c r="AA69" s="149">
        <f t="shared" si="34"/>
        <v>0</v>
      </c>
      <c r="AB69" s="84">
        <f t="shared" si="35"/>
        <v>0</v>
      </c>
      <c r="AC69" s="114">
        <f t="shared" si="44"/>
        <v>0</v>
      </c>
      <c r="AD69" s="70"/>
      <c r="AE69" s="74"/>
      <c r="AF69" s="79"/>
      <c r="AG69" s="149"/>
      <c r="AH69" s="84"/>
      <c r="AI69" s="114">
        <f t="shared" si="45"/>
        <v>0</v>
      </c>
      <c r="AJ69" s="117"/>
      <c r="AK69" s="117"/>
      <c r="AL69" s="107"/>
      <c r="AM69" s="118"/>
      <c r="AN69" s="118"/>
      <c r="AO69" s="118"/>
    </row>
    <row r="70" spans="2:41" ht="15.6" customHeight="1" x14ac:dyDescent="0.2">
      <c r="B70" s="98">
        <v>11226</v>
      </c>
      <c r="C70" s="99" t="s">
        <v>47</v>
      </c>
      <c r="D70" s="98">
        <f>'Monthly Material Planning'!$D$22</f>
        <v>27.3</v>
      </c>
      <c r="E70" s="98"/>
      <c r="F70" s="98"/>
      <c r="G70" s="98">
        <f>'Cumulative Material Use'!$E$27</f>
        <v>0.47900999999999999</v>
      </c>
      <c r="H70" s="98"/>
      <c r="I70" s="98"/>
      <c r="J70" s="84"/>
      <c r="K70" s="124">
        <f t="shared" si="36"/>
        <v>0</v>
      </c>
      <c r="L70" s="125">
        <f t="shared" si="37"/>
        <v>0</v>
      </c>
      <c r="M70" s="126">
        <f t="shared" si="38"/>
        <v>0</v>
      </c>
      <c r="N70" s="149">
        <f t="shared" si="39"/>
        <v>0</v>
      </c>
      <c r="O70" s="129">
        <f t="shared" si="40"/>
        <v>0</v>
      </c>
      <c r="P70" s="127">
        <f t="shared" si="41"/>
        <v>0</v>
      </c>
      <c r="Q70" s="115"/>
      <c r="R70" s="127">
        <f t="shared" si="42"/>
        <v>0</v>
      </c>
      <c r="S70" s="127">
        <f t="shared" si="43"/>
        <v>0</v>
      </c>
      <c r="T70" s="127"/>
      <c r="U70" s="127"/>
      <c r="V70" s="98"/>
      <c r="W70" s="98"/>
      <c r="X70" s="70">
        <f t="shared" si="31"/>
        <v>0</v>
      </c>
      <c r="Y70" s="74">
        <f t="shared" si="32"/>
        <v>0</v>
      </c>
      <c r="Z70" s="79">
        <f t="shared" si="33"/>
        <v>0</v>
      </c>
      <c r="AA70" s="149">
        <f t="shared" si="34"/>
        <v>0</v>
      </c>
      <c r="AB70" s="84">
        <f t="shared" si="35"/>
        <v>0</v>
      </c>
      <c r="AC70" s="114">
        <f t="shared" si="44"/>
        <v>0</v>
      </c>
      <c r="AD70" s="70"/>
      <c r="AE70" s="74"/>
      <c r="AF70" s="79"/>
      <c r="AG70" s="149"/>
      <c r="AH70" s="84"/>
      <c r="AI70" s="114">
        <f t="shared" si="45"/>
        <v>0</v>
      </c>
      <c r="AJ70" s="117"/>
      <c r="AK70" s="117"/>
      <c r="AL70" s="107"/>
      <c r="AM70" s="118"/>
      <c r="AN70" s="118"/>
      <c r="AO70" s="118"/>
    </row>
    <row r="71" spans="2:41" ht="15.6" customHeight="1" x14ac:dyDescent="0.2">
      <c r="B71" s="98">
        <v>10074</v>
      </c>
      <c r="C71" s="99" t="s">
        <v>48</v>
      </c>
      <c r="D71" s="98">
        <f>'Monthly Material Planning'!$D$23</f>
        <v>19</v>
      </c>
      <c r="E71" s="98"/>
      <c r="F71" s="98"/>
      <c r="G71" s="98"/>
      <c r="H71" s="98">
        <f>'Cumulative Material Use'!$E$37</f>
        <v>7.92E-3</v>
      </c>
      <c r="I71" s="98"/>
      <c r="J71" s="84"/>
      <c r="K71" s="124"/>
      <c r="L71" s="125"/>
      <c r="M71" s="126"/>
      <c r="N71" s="149">
        <f t="shared" si="39"/>
        <v>0</v>
      </c>
      <c r="O71" s="129"/>
      <c r="P71" s="127"/>
      <c r="Q71" s="115"/>
      <c r="R71" s="127"/>
      <c r="S71" s="127">
        <f t="shared" si="43"/>
        <v>0</v>
      </c>
      <c r="T71" s="127"/>
      <c r="U71" s="127"/>
      <c r="V71" s="98"/>
      <c r="W71" s="98"/>
      <c r="X71" s="70"/>
      <c r="Y71" s="74"/>
      <c r="Z71" s="79"/>
      <c r="AA71" s="149">
        <f t="shared" si="34"/>
        <v>0</v>
      </c>
      <c r="AB71" s="84"/>
      <c r="AC71" s="114"/>
      <c r="AD71" s="70"/>
      <c r="AE71" s="74"/>
      <c r="AF71" s="79"/>
      <c r="AG71" s="149"/>
      <c r="AH71" s="84"/>
      <c r="AI71" s="114"/>
      <c r="AJ71" s="117"/>
      <c r="AK71" s="117"/>
      <c r="AL71" s="107"/>
      <c r="AM71" s="118"/>
      <c r="AN71" s="118"/>
      <c r="AO71" s="118"/>
    </row>
    <row r="72" spans="2:41" ht="15.6" customHeight="1" x14ac:dyDescent="0.2">
      <c r="B72" s="98">
        <v>11291</v>
      </c>
      <c r="C72" s="99" t="s">
        <v>49</v>
      </c>
      <c r="D72" s="98">
        <f>'Monthly Material Planning'!$D$24</f>
        <v>0.2379</v>
      </c>
      <c r="E72" s="98"/>
      <c r="F72" s="98"/>
      <c r="G72" s="98">
        <f>'Cumulative Material Use'!$E$28</f>
        <v>8.0399999999999999E-2</v>
      </c>
      <c r="H72" s="98"/>
      <c r="I72" s="98"/>
      <c r="J72" s="84"/>
      <c r="K72" s="124">
        <f t="shared" si="36"/>
        <v>0</v>
      </c>
      <c r="L72" s="125">
        <f t="shared" si="37"/>
        <v>0</v>
      </c>
      <c r="M72" s="126">
        <f t="shared" si="38"/>
        <v>0</v>
      </c>
      <c r="N72" s="149">
        <f t="shared" si="39"/>
        <v>0</v>
      </c>
      <c r="O72" s="129">
        <f t="shared" si="40"/>
        <v>0</v>
      </c>
      <c r="P72" s="127">
        <f t="shared" si="41"/>
        <v>0</v>
      </c>
      <c r="Q72" s="115"/>
      <c r="R72" s="127">
        <f t="shared" si="42"/>
        <v>0</v>
      </c>
      <c r="S72" s="127">
        <f t="shared" si="43"/>
        <v>0</v>
      </c>
      <c r="T72" s="127"/>
      <c r="U72" s="127"/>
      <c r="V72" s="98"/>
      <c r="W72" s="98"/>
      <c r="X72" s="70">
        <f>E72*$AD$6</f>
        <v>0</v>
      </c>
      <c r="Y72" s="74">
        <f>F72*$AE$6</f>
        <v>0</v>
      </c>
      <c r="Z72" s="79">
        <f>G72*$AF$6</f>
        <v>0</v>
      </c>
      <c r="AA72" s="149">
        <f t="shared" si="34"/>
        <v>0</v>
      </c>
      <c r="AB72" s="84">
        <f>I72*$AH$6</f>
        <v>0</v>
      </c>
      <c r="AC72" s="114">
        <f t="shared" si="44"/>
        <v>0</v>
      </c>
      <c r="AD72" s="70"/>
      <c r="AE72" s="74"/>
      <c r="AF72" s="79"/>
      <c r="AG72" s="149"/>
      <c r="AH72" s="84"/>
      <c r="AI72" s="114">
        <f t="shared" si="45"/>
        <v>0</v>
      </c>
      <c r="AJ72" s="117"/>
      <c r="AK72" s="117"/>
      <c r="AL72" s="107"/>
      <c r="AM72" s="118"/>
      <c r="AN72" s="118"/>
      <c r="AO72" s="118"/>
    </row>
    <row r="73" spans="2:41" ht="15.6" customHeight="1" x14ac:dyDescent="0.2">
      <c r="B73" s="98">
        <v>11290</v>
      </c>
      <c r="C73" s="99" t="s">
        <v>50</v>
      </c>
      <c r="D73" s="98">
        <f>'Monthly Material Planning'!$D$25</f>
        <v>0.1308</v>
      </c>
      <c r="E73" s="98"/>
      <c r="F73" s="98"/>
      <c r="G73" s="98">
        <f>'Cumulative Material Use'!$E$29</f>
        <v>5.5500000000000001E-2</v>
      </c>
      <c r="H73" s="98"/>
      <c r="I73" s="98"/>
      <c r="J73" s="84"/>
      <c r="K73" s="124">
        <f t="shared" si="36"/>
        <v>0</v>
      </c>
      <c r="L73" s="125">
        <f t="shared" si="37"/>
        <v>0</v>
      </c>
      <c r="M73" s="126">
        <f t="shared" si="38"/>
        <v>0</v>
      </c>
      <c r="N73" s="149">
        <f t="shared" si="39"/>
        <v>0</v>
      </c>
      <c r="O73" s="129">
        <f t="shared" si="40"/>
        <v>0</v>
      </c>
      <c r="P73" s="127">
        <f t="shared" si="41"/>
        <v>0</v>
      </c>
      <c r="Q73" s="115"/>
      <c r="R73" s="127">
        <f t="shared" si="42"/>
        <v>0</v>
      </c>
      <c r="S73" s="127">
        <f t="shared" si="43"/>
        <v>0</v>
      </c>
      <c r="T73" s="127"/>
      <c r="U73" s="127"/>
      <c r="V73" s="98"/>
      <c r="W73" s="98"/>
      <c r="X73" s="70">
        <f>E73*$AD$6</f>
        <v>0</v>
      </c>
      <c r="Y73" s="74">
        <f>F73*$AE$6</f>
        <v>0</v>
      </c>
      <c r="Z73" s="79">
        <f>G73*$AF$6</f>
        <v>0</v>
      </c>
      <c r="AA73" s="149">
        <f t="shared" si="34"/>
        <v>0</v>
      </c>
      <c r="AB73" s="84">
        <f>I73*$AH$6</f>
        <v>0</v>
      </c>
      <c r="AC73" s="114">
        <f t="shared" si="44"/>
        <v>0</v>
      </c>
      <c r="AD73" s="70"/>
      <c r="AE73" s="74"/>
      <c r="AF73" s="79"/>
      <c r="AG73" s="149"/>
      <c r="AH73" s="84"/>
      <c r="AI73" s="114">
        <f t="shared" si="45"/>
        <v>0</v>
      </c>
      <c r="AJ73" s="117"/>
      <c r="AK73" s="117"/>
      <c r="AL73" s="107"/>
      <c r="AM73" s="118"/>
      <c r="AN73" s="118"/>
      <c r="AO73" s="118"/>
    </row>
    <row r="74" spans="2:41" ht="21" customHeight="1" x14ac:dyDescent="0.2"/>
    <row r="75" spans="2:41" ht="15.6" customHeight="1" x14ac:dyDescent="0.25">
      <c r="B75" s="223" t="s">
        <v>56</v>
      </c>
      <c r="C75" s="223"/>
      <c r="D75" s="223"/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3"/>
      <c r="W75" s="223"/>
      <c r="X75" s="223"/>
      <c r="Y75" s="223"/>
      <c r="Z75" s="223"/>
      <c r="AA75" s="223"/>
      <c r="AB75" s="223"/>
      <c r="AC75" s="223"/>
      <c r="AD75" s="223"/>
      <c r="AE75" s="223"/>
      <c r="AF75" s="223"/>
      <c r="AG75" s="223"/>
      <c r="AH75" s="223"/>
      <c r="AI75" s="223"/>
      <c r="AJ75" s="223"/>
      <c r="AK75" s="223"/>
      <c r="AL75" s="223"/>
      <c r="AM75" s="223"/>
      <c r="AN75" s="223"/>
      <c r="AO75" s="223"/>
    </row>
    <row r="76" spans="2:41" ht="21" customHeight="1" x14ac:dyDescent="0.2">
      <c r="B76" s="218" t="s">
        <v>7</v>
      </c>
      <c r="C76" s="220" t="s">
        <v>8</v>
      </c>
      <c r="D76" s="218" t="s">
        <v>9</v>
      </c>
      <c r="E76" s="222" t="s">
        <v>10</v>
      </c>
      <c r="F76" s="222"/>
      <c r="G76" s="222"/>
      <c r="H76" s="222"/>
      <c r="I76" s="222"/>
      <c r="J76" s="226"/>
      <c r="K76" s="214" t="s">
        <v>57</v>
      </c>
      <c r="L76" s="214"/>
      <c r="M76" s="214"/>
      <c r="N76" s="214"/>
      <c r="O76" s="214"/>
      <c r="P76" s="214"/>
      <c r="Q76" s="204" t="s">
        <v>12</v>
      </c>
      <c r="R76" s="215" t="s">
        <v>13</v>
      </c>
      <c r="S76" s="215" t="s">
        <v>14</v>
      </c>
      <c r="T76" s="215" t="s">
        <v>58</v>
      </c>
      <c r="U76" s="215" t="s">
        <v>59</v>
      </c>
      <c r="V76" s="207" t="s">
        <v>15</v>
      </c>
      <c r="W76" s="208"/>
      <c r="X76" s="217" t="s">
        <v>60</v>
      </c>
      <c r="Y76" s="217"/>
      <c r="Z76" s="217"/>
      <c r="AA76" s="217"/>
      <c r="AB76" s="217"/>
      <c r="AC76" s="217"/>
      <c r="AD76" s="206" t="s">
        <v>64</v>
      </c>
      <c r="AE76" s="206"/>
      <c r="AF76" s="206"/>
      <c r="AG76" s="206"/>
      <c r="AH76" s="206"/>
      <c r="AI76" s="206"/>
      <c r="AJ76" s="207" t="s">
        <v>18</v>
      </c>
      <c r="AK76" s="208"/>
      <c r="AL76" s="209" t="s">
        <v>19</v>
      </c>
      <c r="AM76" s="224" t="s">
        <v>62</v>
      </c>
      <c r="AN76" s="224" t="s">
        <v>63</v>
      </c>
      <c r="AO76" s="204" t="s">
        <v>21</v>
      </c>
    </row>
    <row r="77" spans="2:41" ht="19.2" customHeight="1" x14ac:dyDescent="0.2">
      <c r="B77" s="219"/>
      <c r="C77" s="221"/>
      <c r="D77" s="219"/>
      <c r="E77" s="108" t="s">
        <v>2</v>
      </c>
      <c r="F77" s="109" t="s">
        <v>22</v>
      </c>
      <c r="G77" s="110" t="s">
        <v>23</v>
      </c>
      <c r="H77" s="148" t="s">
        <v>5</v>
      </c>
      <c r="I77" s="111" t="s">
        <v>24</v>
      </c>
      <c r="J77" s="227"/>
      <c r="K77" s="108" t="s">
        <v>2</v>
      </c>
      <c r="L77" s="109" t="s">
        <v>22</v>
      </c>
      <c r="M77" s="110" t="s">
        <v>23</v>
      </c>
      <c r="N77" s="148" t="s">
        <v>5</v>
      </c>
      <c r="O77" s="111" t="s">
        <v>24</v>
      </c>
      <c r="P77" s="112" t="s">
        <v>25</v>
      </c>
      <c r="Q77" s="205"/>
      <c r="R77" s="216"/>
      <c r="S77" s="216"/>
      <c r="T77" s="216"/>
      <c r="U77" s="216"/>
      <c r="V77" s="113" t="s">
        <v>26</v>
      </c>
      <c r="W77" s="113" t="s">
        <v>27</v>
      </c>
      <c r="X77" s="108" t="s">
        <v>2</v>
      </c>
      <c r="Y77" s="109" t="s">
        <v>22</v>
      </c>
      <c r="Z77" s="110" t="s">
        <v>23</v>
      </c>
      <c r="AA77" s="148" t="s">
        <v>5</v>
      </c>
      <c r="AB77" s="111" t="s">
        <v>24</v>
      </c>
      <c r="AC77" s="112" t="s">
        <v>25</v>
      </c>
      <c r="AD77" s="108" t="s">
        <v>2</v>
      </c>
      <c r="AE77" s="109" t="s">
        <v>22</v>
      </c>
      <c r="AF77" s="110" t="s">
        <v>23</v>
      </c>
      <c r="AG77" s="148" t="s">
        <v>5</v>
      </c>
      <c r="AH77" s="111" t="s">
        <v>24</v>
      </c>
      <c r="AI77" s="112" t="s">
        <v>25</v>
      </c>
      <c r="AJ77" s="113" t="s">
        <v>27</v>
      </c>
      <c r="AK77" s="113" t="s">
        <v>26</v>
      </c>
      <c r="AL77" s="209"/>
      <c r="AM77" s="225"/>
      <c r="AN77" s="225"/>
      <c r="AO77" s="205"/>
    </row>
    <row r="78" spans="2:41" ht="15.6" customHeight="1" x14ac:dyDescent="0.2">
      <c r="B78" s="98">
        <v>11279</v>
      </c>
      <c r="C78" s="99" t="s">
        <v>28</v>
      </c>
      <c r="D78" s="98">
        <f>'Monthly Material Planning'!$D$8</f>
        <v>12.8</v>
      </c>
      <c r="E78" s="98">
        <f>'Cumulative Material Use'!$E$3</f>
        <v>0.96429999999999993</v>
      </c>
      <c r="F78" s="98">
        <f>'Cumulative Material Use'!$E$11</f>
        <v>0.2414</v>
      </c>
      <c r="G78" s="98">
        <f>'Cumulative Material Use'!$E$24</f>
        <v>0.50680000000000003</v>
      </c>
      <c r="H78" s="98">
        <f>'Cumulative Material Use'!$E$34</f>
        <v>0.96900000000000008</v>
      </c>
      <c r="I78" s="98"/>
      <c r="J78" s="84"/>
      <c r="K78" s="124">
        <f>E78*$K$7</f>
        <v>0</v>
      </c>
      <c r="L78" s="125">
        <f>F78*$L$7</f>
        <v>0</v>
      </c>
      <c r="M78" s="126">
        <f>G78*$M$7</f>
        <v>0</v>
      </c>
      <c r="N78" s="149">
        <f>H78*$N$7</f>
        <v>0</v>
      </c>
      <c r="O78" s="129">
        <f>I78*$O$7</f>
        <v>0</v>
      </c>
      <c r="P78" s="127">
        <f>SUM(K78:O78)</f>
        <v>0</v>
      </c>
      <c r="Q78" s="115"/>
      <c r="R78" s="127">
        <f>P78-Q78</f>
        <v>0</v>
      </c>
      <c r="S78" s="127">
        <f>R78/D78</f>
        <v>0</v>
      </c>
      <c r="T78" s="127"/>
      <c r="U78" s="127"/>
      <c r="V78" s="98"/>
      <c r="W78" s="98"/>
      <c r="X78" s="70">
        <f t="shared" ref="X78:X92" si="46">E78*$AD$7</f>
        <v>0</v>
      </c>
      <c r="Y78" s="74">
        <f t="shared" ref="Y78:Y92" si="47">F78*$AE$7</f>
        <v>0</v>
      </c>
      <c r="Z78" s="79">
        <f t="shared" ref="Z78:Z92" si="48">G78*$AF$7</f>
        <v>0</v>
      </c>
      <c r="AA78" s="149">
        <f t="shared" ref="AA78:AA95" si="49">H78*$AG$7</f>
        <v>0</v>
      </c>
      <c r="AB78" s="84">
        <f t="shared" ref="AB78:AB92" si="50">I78*$AH$7</f>
        <v>0</v>
      </c>
      <c r="AC78" s="114">
        <f>SUM(X78:AB78)</f>
        <v>0</v>
      </c>
      <c r="AD78" s="70"/>
      <c r="AE78" s="74"/>
      <c r="AF78" s="79"/>
      <c r="AG78" s="149"/>
      <c r="AH78" s="84"/>
      <c r="AI78" s="114">
        <f>SUM(AD78:AH78)</f>
        <v>0</v>
      </c>
      <c r="AJ78" s="116"/>
      <c r="AK78" s="117"/>
      <c r="AL78" s="107"/>
      <c r="AM78" s="118"/>
      <c r="AN78" s="118"/>
      <c r="AO78" s="118"/>
    </row>
    <row r="79" spans="2:41" ht="15.6" customHeight="1" x14ac:dyDescent="0.2">
      <c r="B79" s="98" t="s">
        <v>29</v>
      </c>
      <c r="C79" s="99" t="s">
        <v>30</v>
      </c>
      <c r="D79" s="98">
        <f>'Monthly Material Planning'!$D$9</f>
        <v>17</v>
      </c>
      <c r="E79" s="98">
        <f>'Cumulative Material Use'!$E$4</f>
        <v>0.2646</v>
      </c>
      <c r="F79" s="98"/>
      <c r="G79" s="98"/>
      <c r="H79" s="98">
        <f>'Cumulative Material Use'!$E$38</f>
        <v>6.3600000000000004E-2</v>
      </c>
      <c r="I79" s="98"/>
      <c r="J79" s="84"/>
      <c r="K79" s="124">
        <f t="shared" ref="K79:K95" si="51">E79*$K$7</f>
        <v>0</v>
      </c>
      <c r="L79" s="125">
        <f t="shared" ref="L79:L95" si="52">F79*$L$7</f>
        <v>0</v>
      </c>
      <c r="M79" s="126">
        <f t="shared" ref="M79:M95" si="53">G79*$M$7</f>
        <v>0</v>
      </c>
      <c r="N79" s="149">
        <f t="shared" ref="N79:N95" si="54">H79*$N$7</f>
        <v>0</v>
      </c>
      <c r="O79" s="129">
        <f t="shared" ref="O79:O95" si="55">I79*$O$7</f>
        <v>0</v>
      </c>
      <c r="P79" s="127">
        <f t="shared" ref="P79:P95" si="56">SUM(K79:O79)</f>
        <v>0</v>
      </c>
      <c r="Q79" s="115"/>
      <c r="R79" s="127">
        <f t="shared" ref="R79:R95" si="57">P79-Q79</f>
        <v>0</v>
      </c>
      <c r="S79" s="127">
        <f t="shared" ref="S79:S95" si="58">R79/D79</f>
        <v>0</v>
      </c>
      <c r="T79" s="127"/>
      <c r="U79" s="127"/>
      <c r="V79" s="98"/>
      <c r="W79" s="98"/>
      <c r="X79" s="70">
        <f t="shared" si="46"/>
        <v>0</v>
      </c>
      <c r="Y79" s="74">
        <f t="shared" si="47"/>
        <v>0</v>
      </c>
      <c r="Z79" s="79">
        <f t="shared" si="48"/>
        <v>0</v>
      </c>
      <c r="AA79" s="149">
        <f t="shared" si="49"/>
        <v>0</v>
      </c>
      <c r="AB79" s="84">
        <f t="shared" si="50"/>
        <v>0</v>
      </c>
      <c r="AC79" s="114">
        <f t="shared" ref="AC79:AC95" si="59">SUM(X79:AB79)</f>
        <v>0</v>
      </c>
      <c r="AD79" s="70"/>
      <c r="AE79" s="74"/>
      <c r="AF79" s="79"/>
      <c r="AG79" s="149"/>
      <c r="AH79" s="84"/>
      <c r="AI79" s="114">
        <f t="shared" ref="AI79:AI95" si="60">SUM(AD79:AH79)</f>
        <v>0</v>
      </c>
      <c r="AJ79" s="117"/>
      <c r="AK79" s="117"/>
      <c r="AL79" s="107"/>
      <c r="AM79" s="118"/>
      <c r="AN79" s="118"/>
      <c r="AO79" s="118"/>
    </row>
    <row r="80" spans="2:41" ht="15.6" customHeight="1" x14ac:dyDescent="0.2">
      <c r="B80" s="98">
        <v>10154</v>
      </c>
      <c r="C80" s="99" t="s">
        <v>31</v>
      </c>
      <c r="D80" s="98">
        <f>'Monthly Material Planning'!$D$10</f>
        <v>13.5</v>
      </c>
      <c r="E80" s="98">
        <f>'Cumulative Material Use'!$E$5</f>
        <v>5.3999999999999999E-2</v>
      </c>
      <c r="F80" s="98">
        <f>'Cumulative Material Use'!$E$13</f>
        <v>0.1646</v>
      </c>
      <c r="G80" s="98">
        <f>'Cumulative Material Use'!$E$20</f>
        <v>0.68471000000000004</v>
      </c>
      <c r="H80" s="98">
        <f>'Cumulative Material Use'!$E$35</f>
        <v>0.18989999999999999</v>
      </c>
      <c r="I80" s="98">
        <f>'Cumulative Material Use'!$E$31</f>
        <v>5.7600000000000005E-2</v>
      </c>
      <c r="J80" s="84"/>
      <c r="K80" s="124">
        <f t="shared" si="51"/>
        <v>0</v>
      </c>
      <c r="L80" s="125">
        <f t="shared" si="52"/>
        <v>0</v>
      </c>
      <c r="M80" s="126">
        <f t="shared" si="53"/>
        <v>0</v>
      </c>
      <c r="N80" s="149">
        <f t="shared" si="54"/>
        <v>0</v>
      </c>
      <c r="O80" s="129">
        <f t="shared" si="55"/>
        <v>0</v>
      </c>
      <c r="P80" s="127">
        <f t="shared" si="56"/>
        <v>0</v>
      </c>
      <c r="Q80" s="115"/>
      <c r="R80" s="127">
        <f t="shared" si="57"/>
        <v>0</v>
      </c>
      <c r="S80" s="127">
        <f t="shared" si="58"/>
        <v>0</v>
      </c>
      <c r="T80" s="127"/>
      <c r="U80" s="127"/>
      <c r="V80" s="98"/>
      <c r="W80" s="98"/>
      <c r="X80" s="70">
        <f t="shared" si="46"/>
        <v>0</v>
      </c>
      <c r="Y80" s="74">
        <f t="shared" si="47"/>
        <v>0</v>
      </c>
      <c r="Z80" s="79">
        <f t="shared" si="48"/>
        <v>0</v>
      </c>
      <c r="AA80" s="149">
        <f t="shared" si="49"/>
        <v>0</v>
      </c>
      <c r="AB80" s="84">
        <f t="shared" si="50"/>
        <v>0</v>
      </c>
      <c r="AC80" s="114">
        <f t="shared" si="59"/>
        <v>0</v>
      </c>
      <c r="AD80" s="70"/>
      <c r="AE80" s="74"/>
      <c r="AF80" s="79"/>
      <c r="AG80" s="149"/>
      <c r="AH80" s="84"/>
      <c r="AI80" s="114">
        <f t="shared" si="60"/>
        <v>0</v>
      </c>
      <c r="AJ80" s="117"/>
      <c r="AK80" s="117"/>
      <c r="AL80" s="107"/>
      <c r="AM80" s="118"/>
      <c r="AN80" s="118"/>
      <c r="AO80" s="118"/>
    </row>
    <row r="81" spans="2:41" ht="15.6" customHeight="1" x14ac:dyDescent="0.2">
      <c r="B81" s="98">
        <v>10155</v>
      </c>
      <c r="C81" s="99" t="s">
        <v>32</v>
      </c>
      <c r="D81" s="98">
        <f>'Monthly Material Planning'!$D$11</f>
        <v>18.100000000000001</v>
      </c>
      <c r="E81" s="98">
        <f>'Cumulative Material Use'!$E$6</f>
        <v>0.66821000000000008</v>
      </c>
      <c r="F81" s="98">
        <f>'Cumulative Material Use'!$E$15</f>
        <v>0.50700999999999996</v>
      </c>
      <c r="G81" s="98">
        <f>'Cumulative Material Use'!$E$26</f>
        <v>7.8899999999999998E-2</v>
      </c>
      <c r="H81" s="98">
        <f>'Cumulative Material Use'!$E$36</f>
        <v>0.4622</v>
      </c>
      <c r="I81" s="98"/>
      <c r="J81" s="84"/>
      <c r="K81" s="124">
        <f t="shared" si="51"/>
        <v>0</v>
      </c>
      <c r="L81" s="125">
        <f t="shared" si="52"/>
        <v>0</v>
      </c>
      <c r="M81" s="126">
        <f t="shared" si="53"/>
        <v>0</v>
      </c>
      <c r="N81" s="149">
        <f t="shared" si="54"/>
        <v>0</v>
      </c>
      <c r="O81" s="129">
        <f t="shared" si="55"/>
        <v>0</v>
      </c>
      <c r="P81" s="127">
        <f t="shared" si="56"/>
        <v>0</v>
      </c>
      <c r="Q81" s="115"/>
      <c r="R81" s="127">
        <f t="shared" si="57"/>
        <v>0</v>
      </c>
      <c r="S81" s="127">
        <f t="shared" si="58"/>
        <v>0</v>
      </c>
      <c r="T81" s="127"/>
      <c r="U81" s="127"/>
      <c r="V81" s="98"/>
      <c r="W81" s="98"/>
      <c r="X81" s="70">
        <f t="shared" si="46"/>
        <v>0</v>
      </c>
      <c r="Y81" s="74">
        <f t="shared" si="47"/>
        <v>0</v>
      </c>
      <c r="Z81" s="79">
        <f t="shared" si="48"/>
        <v>0</v>
      </c>
      <c r="AA81" s="149">
        <f t="shared" si="49"/>
        <v>0</v>
      </c>
      <c r="AB81" s="84">
        <f t="shared" si="50"/>
        <v>0</v>
      </c>
      <c r="AC81" s="114">
        <f t="shared" si="59"/>
        <v>0</v>
      </c>
      <c r="AD81" s="70"/>
      <c r="AE81" s="74"/>
      <c r="AF81" s="79"/>
      <c r="AG81" s="149"/>
      <c r="AH81" s="84"/>
      <c r="AI81" s="114">
        <f t="shared" si="60"/>
        <v>0</v>
      </c>
      <c r="AJ81" s="117"/>
      <c r="AK81" s="117"/>
      <c r="AL81" s="107"/>
      <c r="AM81" s="118"/>
      <c r="AN81" s="118"/>
      <c r="AO81" s="118"/>
    </row>
    <row r="82" spans="2:41" ht="15.6" customHeight="1" x14ac:dyDescent="0.2">
      <c r="B82" s="98">
        <v>11332</v>
      </c>
      <c r="C82" s="99" t="s">
        <v>33</v>
      </c>
      <c r="D82" s="98">
        <f>'Monthly Material Planning'!$D$12</f>
        <v>31.7</v>
      </c>
      <c r="E82" s="98">
        <f>'Cumulative Material Use'!$E$7</f>
        <v>0.51670000000000005</v>
      </c>
      <c r="F82" s="98">
        <f>'Cumulative Material Use'!$E$16</f>
        <v>0.52669999999999995</v>
      </c>
      <c r="G82" s="98"/>
      <c r="H82" s="98">
        <f>'Cumulative Material Use'!$E$42</f>
        <v>0.58520000000000005</v>
      </c>
      <c r="I82" s="98"/>
      <c r="J82" s="84"/>
      <c r="K82" s="124">
        <f t="shared" si="51"/>
        <v>0</v>
      </c>
      <c r="L82" s="125">
        <f t="shared" si="52"/>
        <v>0</v>
      </c>
      <c r="M82" s="126">
        <f t="shared" si="53"/>
        <v>0</v>
      </c>
      <c r="N82" s="149">
        <f t="shared" si="54"/>
        <v>0</v>
      </c>
      <c r="O82" s="129">
        <f t="shared" si="55"/>
        <v>0</v>
      </c>
      <c r="P82" s="127">
        <f t="shared" si="56"/>
        <v>0</v>
      </c>
      <c r="Q82" s="115"/>
      <c r="R82" s="127">
        <f t="shared" si="57"/>
        <v>0</v>
      </c>
      <c r="S82" s="127">
        <f t="shared" si="58"/>
        <v>0</v>
      </c>
      <c r="T82" s="127"/>
      <c r="U82" s="127"/>
      <c r="V82" s="98"/>
      <c r="W82" s="98"/>
      <c r="X82" s="70">
        <f t="shared" si="46"/>
        <v>0</v>
      </c>
      <c r="Y82" s="74">
        <f t="shared" si="47"/>
        <v>0</v>
      </c>
      <c r="Z82" s="79">
        <f t="shared" si="48"/>
        <v>0</v>
      </c>
      <c r="AA82" s="149">
        <f t="shared" si="49"/>
        <v>0</v>
      </c>
      <c r="AB82" s="84">
        <f t="shared" si="50"/>
        <v>0</v>
      </c>
      <c r="AC82" s="114">
        <f t="shared" si="59"/>
        <v>0</v>
      </c>
      <c r="AD82" s="70"/>
      <c r="AE82" s="74"/>
      <c r="AF82" s="79"/>
      <c r="AG82" s="149"/>
      <c r="AH82" s="84"/>
      <c r="AI82" s="114">
        <f t="shared" si="60"/>
        <v>0</v>
      </c>
      <c r="AJ82" s="117"/>
      <c r="AK82" s="117"/>
      <c r="AL82" s="107"/>
      <c r="AM82" s="118"/>
      <c r="AN82" s="118"/>
      <c r="AO82" s="118"/>
    </row>
    <row r="83" spans="2:41" ht="15.6" customHeight="1" x14ac:dyDescent="0.2">
      <c r="B83" s="98" t="s">
        <v>34</v>
      </c>
      <c r="C83" s="99" t="s">
        <v>35</v>
      </c>
      <c r="D83" s="98">
        <f>'Monthly Material Planning'!$D$13</f>
        <v>15.6</v>
      </c>
      <c r="E83" s="98">
        <f>'Cumulative Material Use'!$E$8</f>
        <v>1.08</v>
      </c>
      <c r="F83" s="98"/>
      <c r="G83" s="98"/>
      <c r="H83" s="98">
        <f>'Cumulative Material Use'!$E$39</f>
        <v>0.82130000000000003</v>
      </c>
      <c r="I83" s="98"/>
      <c r="J83" s="84"/>
      <c r="K83" s="124">
        <f t="shared" si="51"/>
        <v>0</v>
      </c>
      <c r="L83" s="125">
        <f t="shared" si="52"/>
        <v>0</v>
      </c>
      <c r="M83" s="126">
        <f t="shared" si="53"/>
        <v>0</v>
      </c>
      <c r="N83" s="149">
        <f t="shared" si="54"/>
        <v>0</v>
      </c>
      <c r="O83" s="129">
        <f t="shared" si="55"/>
        <v>0</v>
      </c>
      <c r="P83" s="127">
        <f t="shared" si="56"/>
        <v>0</v>
      </c>
      <c r="Q83" s="115"/>
      <c r="R83" s="127">
        <f t="shared" si="57"/>
        <v>0</v>
      </c>
      <c r="S83" s="127">
        <f t="shared" si="58"/>
        <v>0</v>
      </c>
      <c r="T83" s="127"/>
      <c r="U83" s="127"/>
      <c r="V83" s="98"/>
      <c r="W83" s="98"/>
      <c r="X83" s="70">
        <f t="shared" si="46"/>
        <v>0</v>
      </c>
      <c r="Y83" s="74">
        <f t="shared" si="47"/>
        <v>0</v>
      </c>
      <c r="Z83" s="79">
        <f t="shared" si="48"/>
        <v>0</v>
      </c>
      <c r="AA83" s="149">
        <f t="shared" si="49"/>
        <v>0</v>
      </c>
      <c r="AB83" s="84">
        <f t="shared" si="50"/>
        <v>0</v>
      </c>
      <c r="AC83" s="114">
        <f t="shared" si="59"/>
        <v>0</v>
      </c>
      <c r="AD83" s="70"/>
      <c r="AE83" s="74"/>
      <c r="AF83" s="79"/>
      <c r="AG83" s="149"/>
      <c r="AH83" s="84"/>
      <c r="AI83" s="114">
        <f t="shared" si="60"/>
        <v>0</v>
      </c>
      <c r="AJ83" s="117"/>
      <c r="AK83" s="117"/>
      <c r="AL83" s="107"/>
      <c r="AM83" s="118"/>
      <c r="AN83" s="118"/>
      <c r="AO83" s="118"/>
    </row>
    <row r="84" spans="2:41" ht="15.6" customHeight="1" x14ac:dyDescent="0.2">
      <c r="B84" s="100">
        <v>11090</v>
      </c>
      <c r="C84" s="101" t="s">
        <v>36</v>
      </c>
      <c r="D84" s="98">
        <f>'Monthly Material Planning'!$D$14</f>
        <v>12.7</v>
      </c>
      <c r="E84" s="98">
        <f>'Cumulative Material Use'!$E$9</f>
        <v>3.56E-2</v>
      </c>
      <c r="F84" s="98">
        <f>'Cumulative Material Use'!$E$14</f>
        <v>7.2139999999999996E-2</v>
      </c>
      <c r="G84" s="98">
        <f>'Cumulative Material Use'!$E$23</f>
        <v>1.154E-2</v>
      </c>
      <c r="H84" s="98">
        <f>'Cumulative Material Use'!$E$40</f>
        <v>1.154E-2</v>
      </c>
      <c r="I84" s="98">
        <f>'Cumulative Material Use'!$E$30</f>
        <v>0.40644999999999998</v>
      </c>
      <c r="J84" s="84"/>
      <c r="K84" s="124">
        <f t="shared" si="51"/>
        <v>0</v>
      </c>
      <c r="L84" s="125">
        <f t="shared" si="52"/>
        <v>0</v>
      </c>
      <c r="M84" s="126">
        <f t="shared" si="53"/>
        <v>0</v>
      </c>
      <c r="N84" s="149">
        <f t="shared" si="54"/>
        <v>0</v>
      </c>
      <c r="O84" s="129">
        <f t="shared" si="55"/>
        <v>0</v>
      </c>
      <c r="P84" s="127">
        <f t="shared" si="56"/>
        <v>0</v>
      </c>
      <c r="Q84" s="115"/>
      <c r="R84" s="127">
        <f t="shared" si="57"/>
        <v>0</v>
      </c>
      <c r="S84" s="127">
        <f t="shared" si="58"/>
        <v>0</v>
      </c>
      <c r="T84" s="127"/>
      <c r="U84" s="127"/>
      <c r="V84" s="98"/>
      <c r="W84" s="98"/>
      <c r="X84" s="70">
        <f t="shared" si="46"/>
        <v>0</v>
      </c>
      <c r="Y84" s="74">
        <f t="shared" si="47"/>
        <v>0</v>
      </c>
      <c r="Z84" s="79">
        <f t="shared" si="48"/>
        <v>0</v>
      </c>
      <c r="AA84" s="149">
        <f t="shared" si="49"/>
        <v>0</v>
      </c>
      <c r="AB84" s="84">
        <f t="shared" si="50"/>
        <v>0</v>
      </c>
      <c r="AC84" s="114">
        <f t="shared" si="59"/>
        <v>0</v>
      </c>
      <c r="AD84" s="70"/>
      <c r="AE84" s="74"/>
      <c r="AF84" s="79"/>
      <c r="AG84" s="149"/>
      <c r="AH84" s="84"/>
      <c r="AI84" s="114">
        <f t="shared" si="60"/>
        <v>0</v>
      </c>
      <c r="AJ84" s="117"/>
      <c r="AK84" s="117"/>
      <c r="AL84" s="107"/>
      <c r="AM84" s="118"/>
      <c r="AN84" s="118"/>
      <c r="AO84" s="118"/>
    </row>
    <row r="85" spans="2:41" ht="15.6" customHeight="1" x14ac:dyDescent="0.2">
      <c r="B85" s="98">
        <v>10073</v>
      </c>
      <c r="C85" s="99" t="s">
        <v>37</v>
      </c>
      <c r="D85" s="98">
        <f>'Monthly Material Planning'!$D$15</f>
        <v>0</v>
      </c>
      <c r="E85" s="98">
        <f>'Cumulative Material Use'!$E$10</f>
        <v>0.11</v>
      </c>
      <c r="F85" s="98"/>
      <c r="G85" s="98"/>
      <c r="H85" s="98">
        <f>'Cumulative Material Use'!$E$41</f>
        <v>0.11</v>
      </c>
      <c r="I85" s="98"/>
      <c r="J85" s="84"/>
      <c r="K85" s="124">
        <f t="shared" si="51"/>
        <v>0</v>
      </c>
      <c r="L85" s="125">
        <f t="shared" si="52"/>
        <v>0</v>
      </c>
      <c r="M85" s="126">
        <f t="shared" si="53"/>
        <v>0</v>
      </c>
      <c r="N85" s="149">
        <f t="shared" si="54"/>
        <v>0</v>
      </c>
      <c r="O85" s="129">
        <f t="shared" si="55"/>
        <v>0</v>
      </c>
      <c r="P85" s="127">
        <f t="shared" si="56"/>
        <v>0</v>
      </c>
      <c r="Q85" s="115"/>
      <c r="R85" s="127">
        <f t="shared" si="57"/>
        <v>0</v>
      </c>
      <c r="S85" s="127" t="e">
        <f t="shared" si="58"/>
        <v>#DIV/0!</v>
      </c>
      <c r="T85" s="127"/>
      <c r="U85" s="127"/>
      <c r="V85" s="98"/>
      <c r="W85" s="98"/>
      <c r="X85" s="70">
        <f t="shared" si="46"/>
        <v>0</v>
      </c>
      <c r="Y85" s="74">
        <f t="shared" si="47"/>
        <v>0</v>
      </c>
      <c r="Z85" s="79">
        <f t="shared" si="48"/>
        <v>0</v>
      </c>
      <c r="AA85" s="149">
        <f t="shared" si="49"/>
        <v>0</v>
      </c>
      <c r="AB85" s="84">
        <f t="shared" si="50"/>
        <v>0</v>
      </c>
      <c r="AC85" s="114">
        <f t="shared" si="59"/>
        <v>0</v>
      </c>
      <c r="AD85" s="70"/>
      <c r="AE85" s="74"/>
      <c r="AF85" s="79"/>
      <c r="AG85" s="149"/>
      <c r="AH85" s="84"/>
      <c r="AI85" s="114">
        <f t="shared" si="60"/>
        <v>0</v>
      </c>
      <c r="AJ85" s="117"/>
      <c r="AK85" s="117"/>
      <c r="AL85" s="107"/>
      <c r="AM85" s="118"/>
      <c r="AN85" s="118"/>
      <c r="AO85" s="118"/>
    </row>
    <row r="86" spans="2:41" ht="15.6" customHeight="1" x14ac:dyDescent="0.2">
      <c r="B86" s="98">
        <v>10970</v>
      </c>
      <c r="C86" s="99" t="s">
        <v>38</v>
      </c>
      <c r="D86" s="98">
        <f>'Monthly Material Planning'!$D$16</f>
        <v>13.6</v>
      </c>
      <c r="E86" s="98"/>
      <c r="F86" s="98">
        <f>'Cumulative Material Use'!$E$12</f>
        <v>0.4103</v>
      </c>
      <c r="G86" s="98"/>
      <c r="H86" s="98"/>
      <c r="I86" s="98"/>
      <c r="J86" s="84"/>
      <c r="K86" s="124">
        <f t="shared" si="51"/>
        <v>0</v>
      </c>
      <c r="L86" s="125">
        <f t="shared" si="52"/>
        <v>0</v>
      </c>
      <c r="M86" s="126">
        <f t="shared" si="53"/>
        <v>0</v>
      </c>
      <c r="N86" s="149">
        <f t="shared" si="54"/>
        <v>0</v>
      </c>
      <c r="O86" s="129">
        <f t="shared" si="55"/>
        <v>0</v>
      </c>
      <c r="P86" s="127">
        <f t="shared" si="56"/>
        <v>0</v>
      </c>
      <c r="Q86" s="115"/>
      <c r="R86" s="127">
        <f t="shared" si="57"/>
        <v>0</v>
      </c>
      <c r="S86" s="127">
        <f t="shared" si="58"/>
        <v>0</v>
      </c>
      <c r="T86" s="127"/>
      <c r="U86" s="127"/>
      <c r="V86" s="98"/>
      <c r="W86" s="98"/>
      <c r="X86" s="70">
        <f t="shared" si="46"/>
        <v>0</v>
      </c>
      <c r="Y86" s="74">
        <f t="shared" si="47"/>
        <v>0</v>
      </c>
      <c r="Z86" s="79">
        <f t="shared" si="48"/>
        <v>0</v>
      </c>
      <c r="AA86" s="149">
        <f t="shared" si="49"/>
        <v>0</v>
      </c>
      <c r="AB86" s="84">
        <f t="shared" si="50"/>
        <v>0</v>
      </c>
      <c r="AC86" s="114">
        <f t="shared" si="59"/>
        <v>0</v>
      </c>
      <c r="AD86" s="70"/>
      <c r="AE86" s="74"/>
      <c r="AF86" s="79"/>
      <c r="AG86" s="149"/>
      <c r="AH86" s="84"/>
      <c r="AI86" s="114">
        <f t="shared" si="60"/>
        <v>0</v>
      </c>
      <c r="AJ86" s="117"/>
      <c r="AK86" s="117"/>
      <c r="AL86" s="107"/>
      <c r="AM86" s="118"/>
      <c r="AN86" s="118"/>
      <c r="AO86" s="118"/>
    </row>
    <row r="87" spans="2:41" ht="15.6" customHeight="1" x14ac:dyDescent="0.2">
      <c r="B87" s="98" t="s">
        <v>39</v>
      </c>
      <c r="C87" s="99" t="s">
        <v>40</v>
      </c>
      <c r="D87" s="98">
        <f>'Monthly Material Planning'!$D$17</f>
        <v>10</v>
      </c>
      <c r="E87" s="98"/>
      <c r="F87" s="98">
        <f>'Cumulative Material Use'!$E$17</f>
        <v>0.55556000000000005</v>
      </c>
      <c r="G87" s="98"/>
      <c r="H87" s="98"/>
      <c r="I87" s="98"/>
      <c r="J87" s="84"/>
      <c r="K87" s="124">
        <f t="shared" si="51"/>
        <v>0</v>
      </c>
      <c r="L87" s="125">
        <f t="shared" si="52"/>
        <v>0</v>
      </c>
      <c r="M87" s="126">
        <f t="shared" si="53"/>
        <v>0</v>
      </c>
      <c r="N87" s="149">
        <f t="shared" si="54"/>
        <v>0</v>
      </c>
      <c r="O87" s="129">
        <f t="shared" si="55"/>
        <v>0</v>
      </c>
      <c r="P87" s="127">
        <f t="shared" si="56"/>
        <v>0</v>
      </c>
      <c r="Q87" s="115"/>
      <c r="R87" s="127">
        <f t="shared" si="57"/>
        <v>0</v>
      </c>
      <c r="S87" s="127">
        <f t="shared" si="58"/>
        <v>0</v>
      </c>
      <c r="T87" s="127"/>
      <c r="U87" s="127"/>
      <c r="V87" s="98"/>
      <c r="W87" s="98"/>
      <c r="X87" s="70">
        <f t="shared" si="46"/>
        <v>0</v>
      </c>
      <c r="Y87" s="74">
        <f t="shared" si="47"/>
        <v>0</v>
      </c>
      <c r="Z87" s="79">
        <f t="shared" si="48"/>
        <v>0</v>
      </c>
      <c r="AA87" s="149">
        <f t="shared" si="49"/>
        <v>0</v>
      </c>
      <c r="AB87" s="84">
        <f t="shared" si="50"/>
        <v>0</v>
      </c>
      <c r="AC87" s="114">
        <f t="shared" si="59"/>
        <v>0</v>
      </c>
      <c r="AD87" s="70"/>
      <c r="AE87" s="74"/>
      <c r="AF87" s="79"/>
      <c r="AG87" s="149"/>
      <c r="AH87" s="84"/>
      <c r="AI87" s="114">
        <f t="shared" si="60"/>
        <v>0</v>
      </c>
      <c r="AJ87" s="117"/>
      <c r="AK87" s="117"/>
      <c r="AL87" s="107"/>
      <c r="AM87" s="118"/>
      <c r="AN87" s="118"/>
      <c r="AO87" s="118"/>
    </row>
    <row r="88" spans="2:41" ht="23.4" customHeight="1" x14ac:dyDescent="0.2">
      <c r="B88" s="100">
        <v>11442</v>
      </c>
      <c r="C88" s="102" t="s">
        <v>41</v>
      </c>
      <c r="D88" s="98">
        <f>'Monthly Material Planning'!$D$18</f>
        <v>17.7</v>
      </c>
      <c r="E88" s="98"/>
      <c r="F88" s="98">
        <f>'Cumulative Material Use'!$E$18</f>
        <v>7.4340000000000003E-2</v>
      </c>
      <c r="G88" s="98">
        <f>'Cumulative Material Use'!$E$21</f>
        <v>7.4340000000000003E-2</v>
      </c>
      <c r="H88" s="98"/>
      <c r="I88" s="98"/>
      <c r="J88" s="84"/>
      <c r="K88" s="124">
        <f t="shared" si="51"/>
        <v>0</v>
      </c>
      <c r="L88" s="125">
        <f t="shared" si="52"/>
        <v>0</v>
      </c>
      <c r="M88" s="126">
        <f t="shared" si="53"/>
        <v>0</v>
      </c>
      <c r="N88" s="149">
        <f t="shared" si="54"/>
        <v>0</v>
      </c>
      <c r="O88" s="129">
        <f t="shared" si="55"/>
        <v>0</v>
      </c>
      <c r="P88" s="127">
        <f t="shared" si="56"/>
        <v>0</v>
      </c>
      <c r="Q88" s="115"/>
      <c r="R88" s="127">
        <f t="shared" si="57"/>
        <v>0</v>
      </c>
      <c r="S88" s="127">
        <f t="shared" si="58"/>
        <v>0</v>
      </c>
      <c r="T88" s="127"/>
      <c r="U88" s="127"/>
      <c r="V88" s="98"/>
      <c r="W88" s="98"/>
      <c r="X88" s="70">
        <f t="shared" si="46"/>
        <v>0</v>
      </c>
      <c r="Y88" s="74">
        <f t="shared" si="47"/>
        <v>0</v>
      </c>
      <c r="Z88" s="79">
        <f t="shared" si="48"/>
        <v>0</v>
      </c>
      <c r="AA88" s="149">
        <f t="shared" si="49"/>
        <v>0</v>
      </c>
      <c r="AB88" s="84">
        <f t="shared" si="50"/>
        <v>0</v>
      </c>
      <c r="AC88" s="114">
        <f t="shared" si="59"/>
        <v>0</v>
      </c>
      <c r="AD88" s="70"/>
      <c r="AE88" s="74"/>
      <c r="AF88" s="79"/>
      <c r="AG88" s="149"/>
      <c r="AH88" s="84"/>
      <c r="AI88" s="114">
        <f t="shared" si="60"/>
        <v>0</v>
      </c>
      <c r="AJ88" s="117"/>
      <c r="AK88" s="117"/>
      <c r="AL88" s="107"/>
      <c r="AM88" s="118"/>
      <c r="AN88" s="118"/>
      <c r="AO88" s="118"/>
    </row>
    <row r="89" spans="2:41" ht="15.6" customHeight="1" x14ac:dyDescent="0.2">
      <c r="B89" s="98">
        <v>11515</v>
      </c>
      <c r="C89" s="99" t="s">
        <v>42</v>
      </c>
      <c r="D89" s="98">
        <f>'Monthly Material Planning'!$D$19</f>
        <v>9.16</v>
      </c>
      <c r="E89" s="98"/>
      <c r="F89" s="98"/>
      <c r="G89" s="98">
        <f>'Cumulative Material Use'!$E$19</f>
        <v>0.71702999999999995</v>
      </c>
      <c r="H89" s="98"/>
      <c r="I89" s="98"/>
      <c r="J89" s="84"/>
      <c r="K89" s="124">
        <f t="shared" si="51"/>
        <v>0</v>
      </c>
      <c r="L89" s="125">
        <f t="shared" si="52"/>
        <v>0</v>
      </c>
      <c r="M89" s="126">
        <f t="shared" si="53"/>
        <v>0</v>
      </c>
      <c r="N89" s="149">
        <f t="shared" si="54"/>
        <v>0</v>
      </c>
      <c r="O89" s="129">
        <f t="shared" si="55"/>
        <v>0</v>
      </c>
      <c r="P89" s="127">
        <f t="shared" si="56"/>
        <v>0</v>
      </c>
      <c r="Q89" s="115"/>
      <c r="R89" s="127">
        <f t="shared" si="57"/>
        <v>0</v>
      </c>
      <c r="S89" s="127">
        <f t="shared" si="58"/>
        <v>0</v>
      </c>
      <c r="T89" s="127"/>
      <c r="U89" s="127"/>
      <c r="V89" s="98"/>
      <c r="W89" s="98"/>
      <c r="X89" s="70">
        <f t="shared" si="46"/>
        <v>0</v>
      </c>
      <c r="Y89" s="74">
        <f t="shared" si="47"/>
        <v>0</v>
      </c>
      <c r="Z89" s="79">
        <f t="shared" si="48"/>
        <v>0</v>
      </c>
      <c r="AA89" s="149">
        <f t="shared" si="49"/>
        <v>0</v>
      </c>
      <c r="AB89" s="84">
        <f t="shared" si="50"/>
        <v>0</v>
      </c>
      <c r="AC89" s="114">
        <f t="shared" si="59"/>
        <v>0</v>
      </c>
      <c r="AD89" s="70"/>
      <c r="AE89" s="74"/>
      <c r="AF89" s="79"/>
      <c r="AG89" s="149"/>
      <c r="AH89" s="84"/>
      <c r="AI89" s="114">
        <f t="shared" si="60"/>
        <v>0</v>
      </c>
      <c r="AJ89" s="117"/>
      <c r="AK89" s="117"/>
      <c r="AL89" s="107"/>
      <c r="AM89" s="118"/>
      <c r="AN89" s="118"/>
      <c r="AO89" s="118"/>
    </row>
    <row r="90" spans="2:41" ht="15.6" customHeight="1" x14ac:dyDescent="0.2">
      <c r="B90" s="98" t="s">
        <v>43</v>
      </c>
      <c r="C90" s="99" t="s">
        <v>44</v>
      </c>
      <c r="D90" s="98">
        <f>'Monthly Material Planning'!$D$20</f>
        <v>3.55</v>
      </c>
      <c r="E90" s="98"/>
      <c r="F90" s="98"/>
      <c r="G90" s="98">
        <f>'Cumulative Material Use'!$E$22</f>
        <v>0.1961</v>
      </c>
      <c r="H90" s="98"/>
      <c r="I90" s="98"/>
      <c r="J90" s="84"/>
      <c r="K90" s="124">
        <f t="shared" si="51"/>
        <v>0</v>
      </c>
      <c r="L90" s="125">
        <f t="shared" si="52"/>
        <v>0</v>
      </c>
      <c r="M90" s="126">
        <f t="shared" si="53"/>
        <v>0</v>
      </c>
      <c r="N90" s="149">
        <f t="shared" si="54"/>
        <v>0</v>
      </c>
      <c r="O90" s="129">
        <f t="shared" si="55"/>
        <v>0</v>
      </c>
      <c r="P90" s="127">
        <f t="shared" si="56"/>
        <v>0</v>
      </c>
      <c r="Q90" s="115"/>
      <c r="R90" s="127">
        <f t="shared" si="57"/>
        <v>0</v>
      </c>
      <c r="S90" s="127">
        <f t="shared" si="58"/>
        <v>0</v>
      </c>
      <c r="T90" s="127"/>
      <c r="U90" s="127"/>
      <c r="V90" s="98"/>
      <c r="W90" s="98"/>
      <c r="X90" s="70">
        <f t="shared" si="46"/>
        <v>0</v>
      </c>
      <c r="Y90" s="74">
        <f t="shared" si="47"/>
        <v>0</v>
      </c>
      <c r="Z90" s="79">
        <f t="shared" si="48"/>
        <v>0</v>
      </c>
      <c r="AA90" s="149">
        <f t="shared" si="49"/>
        <v>0</v>
      </c>
      <c r="AB90" s="84">
        <f t="shared" si="50"/>
        <v>0</v>
      </c>
      <c r="AC90" s="114">
        <f t="shared" si="59"/>
        <v>0</v>
      </c>
      <c r="AD90" s="70"/>
      <c r="AE90" s="74"/>
      <c r="AF90" s="79"/>
      <c r="AG90" s="149"/>
      <c r="AH90" s="84"/>
      <c r="AI90" s="114">
        <f t="shared" si="60"/>
        <v>0</v>
      </c>
      <c r="AJ90" s="117"/>
      <c r="AK90" s="117"/>
      <c r="AL90" s="107"/>
      <c r="AM90" s="118"/>
      <c r="AN90" s="118"/>
      <c r="AO90" s="118"/>
    </row>
    <row r="91" spans="2:41" ht="15.6" customHeight="1" x14ac:dyDescent="0.2">
      <c r="B91" s="98" t="s">
        <v>45</v>
      </c>
      <c r="C91" s="99" t="s">
        <v>46</v>
      </c>
      <c r="D91" s="98">
        <f>'Monthly Material Planning'!$D$21</f>
        <v>29.8</v>
      </c>
      <c r="E91" s="98"/>
      <c r="F91" s="98"/>
      <c r="G91" s="98">
        <f>'Cumulative Material Use'!$E$25</f>
        <v>0.44950000000000001</v>
      </c>
      <c r="H91" s="98"/>
      <c r="I91" s="98">
        <f>'Cumulative Material Use'!$E$32</f>
        <v>2.6599999999999999E-2</v>
      </c>
      <c r="J91" s="84"/>
      <c r="K91" s="124">
        <f t="shared" si="51"/>
        <v>0</v>
      </c>
      <c r="L91" s="125">
        <f t="shared" si="52"/>
        <v>0</v>
      </c>
      <c r="M91" s="126">
        <f t="shared" si="53"/>
        <v>0</v>
      </c>
      <c r="N91" s="149">
        <f t="shared" si="54"/>
        <v>0</v>
      </c>
      <c r="O91" s="129">
        <f t="shared" si="55"/>
        <v>0</v>
      </c>
      <c r="P91" s="127">
        <f t="shared" si="56"/>
        <v>0</v>
      </c>
      <c r="Q91" s="115"/>
      <c r="R91" s="127">
        <f t="shared" si="57"/>
        <v>0</v>
      </c>
      <c r="S91" s="127">
        <f t="shared" si="58"/>
        <v>0</v>
      </c>
      <c r="T91" s="127"/>
      <c r="U91" s="127"/>
      <c r="V91" s="98"/>
      <c r="W91" s="98"/>
      <c r="X91" s="70">
        <f t="shared" si="46"/>
        <v>0</v>
      </c>
      <c r="Y91" s="74">
        <f t="shared" si="47"/>
        <v>0</v>
      </c>
      <c r="Z91" s="79">
        <f t="shared" si="48"/>
        <v>0</v>
      </c>
      <c r="AA91" s="149">
        <f t="shared" si="49"/>
        <v>0</v>
      </c>
      <c r="AB91" s="84">
        <f t="shared" si="50"/>
        <v>0</v>
      </c>
      <c r="AC91" s="114">
        <f t="shared" si="59"/>
        <v>0</v>
      </c>
      <c r="AD91" s="70"/>
      <c r="AE91" s="74"/>
      <c r="AF91" s="79"/>
      <c r="AG91" s="149"/>
      <c r="AH91" s="84"/>
      <c r="AI91" s="114">
        <f t="shared" si="60"/>
        <v>0</v>
      </c>
      <c r="AJ91" s="117"/>
      <c r="AK91" s="117"/>
      <c r="AL91" s="107"/>
      <c r="AM91" s="118"/>
      <c r="AN91" s="118"/>
      <c r="AO91" s="118"/>
    </row>
    <row r="92" spans="2:41" ht="15.6" customHeight="1" x14ac:dyDescent="0.2">
      <c r="B92" s="98">
        <v>11226</v>
      </c>
      <c r="C92" s="99" t="s">
        <v>47</v>
      </c>
      <c r="D92" s="98">
        <f>'Monthly Material Planning'!$D$22</f>
        <v>27.3</v>
      </c>
      <c r="E92" s="98"/>
      <c r="F92" s="98"/>
      <c r="G92" s="98">
        <f>'Cumulative Material Use'!$E$27</f>
        <v>0.47900999999999999</v>
      </c>
      <c r="H92" s="98"/>
      <c r="I92" s="98"/>
      <c r="J92" s="84"/>
      <c r="K92" s="124">
        <f t="shared" si="51"/>
        <v>0</v>
      </c>
      <c r="L92" s="125">
        <f t="shared" si="52"/>
        <v>0</v>
      </c>
      <c r="M92" s="126">
        <f t="shared" si="53"/>
        <v>0</v>
      </c>
      <c r="N92" s="149">
        <f t="shared" si="54"/>
        <v>0</v>
      </c>
      <c r="O92" s="129">
        <f t="shared" si="55"/>
        <v>0</v>
      </c>
      <c r="P92" s="127">
        <f t="shared" si="56"/>
        <v>0</v>
      </c>
      <c r="Q92" s="115"/>
      <c r="R92" s="127">
        <f t="shared" si="57"/>
        <v>0</v>
      </c>
      <c r="S92" s="127">
        <f t="shared" si="58"/>
        <v>0</v>
      </c>
      <c r="T92" s="127"/>
      <c r="U92" s="127"/>
      <c r="V92" s="98"/>
      <c r="W92" s="98"/>
      <c r="X92" s="70">
        <f t="shared" si="46"/>
        <v>0</v>
      </c>
      <c r="Y92" s="74">
        <f t="shared" si="47"/>
        <v>0</v>
      </c>
      <c r="Z92" s="79">
        <f t="shared" si="48"/>
        <v>0</v>
      </c>
      <c r="AA92" s="149">
        <f t="shared" si="49"/>
        <v>0</v>
      </c>
      <c r="AB92" s="84">
        <f t="shared" si="50"/>
        <v>0</v>
      </c>
      <c r="AC92" s="114">
        <f t="shared" si="59"/>
        <v>0</v>
      </c>
      <c r="AD92" s="70"/>
      <c r="AE92" s="74"/>
      <c r="AF92" s="79"/>
      <c r="AG92" s="149"/>
      <c r="AH92" s="84"/>
      <c r="AI92" s="114">
        <f t="shared" si="60"/>
        <v>0</v>
      </c>
      <c r="AJ92" s="117"/>
      <c r="AK92" s="117"/>
      <c r="AL92" s="107"/>
      <c r="AM92" s="118"/>
      <c r="AN92" s="118"/>
      <c r="AO92" s="118"/>
    </row>
    <row r="93" spans="2:41" ht="15.6" customHeight="1" x14ac:dyDescent="0.2">
      <c r="B93" s="98">
        <v>10074</v>
      </c>
      <c r="C93" s="99" t="s">
        <v>48</v>
      </c>
      <c r="D93" s="98">
        <f>'Monthly Material Planning'!$D$23</f>
        <v>19</v>
      </c>
      <c r="E93" s="98"/>
      <c r="F93" s="98"/>
      <c r="G93" s="98"/>
      <c r="H93" s="98">
        <f>'Cumulative Material Use'!$E$37</f>
        <v>7.92E-3</v>
      </c>
      <c r="I93" s="98"/>
      <c r="J93" s="84"/>
      <c r="K93" s="124"/>
      <c r="L93" s="125"/>
      <c r="M93" s="126"/>
      <c r="N93" s="149">
        <f t="shared" si="54"/>
        <v>0</v>
      </c>
      <c r="O93" s="129"/>
      <c r="P93" s="127"/>
      <c r="Q93" s="115"/>
      <c r="R93" s="127"/>
      <c r="S93" s="127">
        <f t="shared" si="58"/>
        <v>0</v>
      </c>
      <c r="T93" s="127"/>
      <c r="U93" s="127"/>
      <c r="V93" s="98"/>
      <c r="W93" s="98"/>
      <c r="X93" s="70"/>
      <c r="Y93" s="74"/>
      <c r="Z93" s="79"/>
      <c r="AA93" s="149">
        <f t="shared" si="49"/>
        <v>0</v>
      </c>
      <c r="AB93" s="84"/>
      <c r="AC93" s="114"/>
      <c r="AD93" s="70"/>
      <c r="AE93" s="74"/>
      <c r="AF93" s="79"/>
      <c r="AG93" s="149"/>
      <c r="AH93" s="84"/>
      <c r="AI93" s="114"/>
      <c r="AJ93" s="117"/>
      <c r="AK93" s="117"/>
      <c r="AL93" s="107"/>
      <c r="AM93" s="118"/>
      <c r="AN93" s="118"/>
      <c r="AO93" s="118"/>
    </row>
    <row r="94" spans="2:41" ht="15.6" customHeight="1" x14ac:dyDescent="0.2">
      <c r="B94" s="98">
        <v>11291</v>
      </c>
      <c r="C94" s="99" t="s">
        <v>49</v>
      </c>
      <c r="D94" s="98">
        <f>'Monthly Material Planning'!$D$24</f>
        <v>0.2379</v>
      </c>
      <c r="E94" s="98"/>
      <c r="F94" s="98"/>
      <c r="G94" s="98">
        <f>'Cumulative Material Use'!$E$28</f>
        <v>8.0399999999999999E-2</v>
      </c>
      <c r="H94" s="98"/>
      <c r="I94" s="98"/>
      <c r="J94" s="84"/>
      <c r="K94" s="124">
        <f t="shared" si="51"/>
        <v>0</v>
      </c>
      <c r="L94" s="125">
        <f t="shared" si="52"/>
        <v>0</v>
      </c>
      <c r="M94" s="126">
        <f t="shared" si="53"/>
        <v>0</v>
      </c>
      <c r="N94" s="149">
        <f t="shared" si="54"/>
        <v>0</v>
      </c>
      <c r="O94" s="129">
        <f t="shared" si="55"/>
        <v>0</v>
      </c>
      <c r="P94" s="127">
        <f t="shared" si="56"/>
        <v>0</v>
      </c>
      <c r="Q94" s="115"/>
      <c r="R94" s="127">
        <f t="shared" si="57"/>
        <v>0</v>
      </c>
      <c r="S94" s="127">
        <f t="shared" si="58"/>
        <v>0</v>
      </c>
      <c r="T94" s="127"/>
      <c r="U94" s="127"/>
      <c r="V94" s="98"/>
      <c r="W94" s="98"/>
      <c r="X94" s="70">
        <f>E94*$AD$7</f>
        <v>0</v>
      </c>
      <c r="Y94" s="74">
        <f>F94*$AE$7</f>
        <v>0</v>
      </c>
      <c r="Z94" s="79">
        <f>G94*$AF$7</f>
        <v>0</v>
      </c>
      <c r="AA94" s="149">
        <f t="shared" si="49"/>
        <v>0</v>
      </c>
      <c r="AB94" s="84">
        <f>I94*$AH$7</f>
        <v>0</v>
      </c>
      <c r="AC94" s="114">
        <f t="shared" si="59"/>
        <v>0</v>
      </c>
      <c r="AD94" s="70"/>
      <c r="AE94" s="74"/>
      <c r="AF94" s="79"/>
      <c r="AG94" s="149"/>
      <c r="AH94" s="84"/>
      <c r="AI94" s="114">
        <f t="shared" si="60"/>
        <v>0</v>
      </c>
      <c r="AJ94" s="117"/>
      <c r="AK94" s="117"/>
      <c r="AL94" s="107"/>
      <c r="AM94" s="118"/>
      <c r="AN94" s="118"/>
      <c r="AO94" s="118"/>
    </row>
    <row r="95" spans="2:41" ht="15.6" customHeight="1" x14ac:dyDescent="0.2">
      <c r="B95" s="98">
        <v>11290</v>
      </c>
      <c r="C95" s="99" t="s">
        <v>50</v>
      </c>
      <c r="D95" s="98">
        <f>'Monthly Material Planning'!$D$25</f>
        <v>0.1308</v>
      </c>
      <c r="E95" s="98"/>
      <c r="F95" s="98"/>
      <c r="G95" s="98">
        <f>'Cumulative Material Use'!$E$29</f>
        <v>5.5500000000000001E-2</v>
      </c>
      <c r="H95" s="98"/>
      <c r="I95" s="98"/>
      <c r="J95" s="84"/>
      <c r="K95" s="124">
        <f t="shared" si="51"/>
        <v>0</v>
      </c>
      <c r="L95" s="125">
        <f t="shared" si="52"/>
        <v>0</v>
      </c>
      <c r="M95" s="126">
        <f t="shared" si="53"/>
        <v>0</v>
      </c>
      <c r="N95" s="149">
        <f t="shared" si="54"/>
        <v>0</v>
      </c>
      <c r="O95" s="129">
        <f t="shared" si="55"/>
        <v>0</v>
      </c>
      <c r="P95" s="127">
        <f t="shared" si="56"/>
        <v>0</v>
      </c>
      <c r="Q95" s="115"/>
      <c r="R95" s="127">
        <f t="shared" si="57"/>
        <v>0</v>
      </c>
      <c r="S95" s="127">
        <f t="shared" si="58"/>
        <v>0</v>
      </c>
      <c r="T95" s="127"/>
      <c r="U95" s="127"/>
      <c r="V95" s="98"/>
      <c r="W95" s="98"/>
      <c r="X95" s="70">
        <f>E95*$AD$7</f>
        <v>0</v>
      </c>
      <c r="Y95" s="74">
        <f>F95*$AE$7</f>
        <v>0</v>
      </c>
      <c r="Z95" s="79">
        <f>G95*$AF$7</f>
        <v>0</v>
      </c>
      <c r="AA95" s="149">
        <f t="shared" si="49"/>
        <v>0</v>
      </c>
      <c r="AB95" s="84">
        <f>I95*$AH$7</f>
        <v>0</v>
      </c>
      <c r="AC95" s="114">
        <f t="shared" si="59"/>
        <v>0</v>
      </c>
      <c r="AD95" s="70"/>
      <c r="AE95" s="74"/>
      <c r="AF95" s="79"/>
      <c r="AG95" s="149"/>
      <c r="AH95" s="84"/>
      <c r="AI95" s="114">
        <f t="shared" si="60"/>
        <v>0</v>
      </c>
      <c r="AJ95" s="117"/>
      <c r="AK95" s="117"/>
      <c r="AL95" s="107"/>
      <c r="AM95" s="118"/>
      <c r="AN95" s="118"/>
      <c r="AO95" s="118"/>
    </row>
  </sheetData>
  <mergeCells count="82">
    <mergeCell ref="AJ32:AK32"/>
    <mergeCell ref="AL32:AL33"/>
    <mergeCell ref="J10:J11"/>
    <mergeCell ref="J32:J33"/>
    <mergeCell ref="J54:J55"/>
    <mergeCell ref="AJ10:AK10"/>
    <mergeCell ref="AL10:AL11"/>
    <mergeCell ref="T32:T33"/>
    <mergeCell ref="U32:U33"/>
    <mergeCell ref="U54:U55"/>
    <mergeCell ref="X32:AC32"/>
    <mergeCell ref="AD32:AI32"/>
    <mergeCell ref="AO32:AO33"/>
    <mergeCell ref="D32:D33"/>
    <mergeCell ref="B75:AO75"/>
    <mergeCell ref="B53:AO53"/>
    <mergeCell ref="B54:B55"/>
    <mergeCell ref="C54:C55"/>
    <mergeCell ref="E54:I54"/>
    <mergeCell ref="K54:P54"/>
    <mergeCell ref="Q54:Q55"/>
    <mergeCell ref="R54:R55"/>
    <mergeCell ref="V54:W54"/>
    <mergeCell ref="X54:AC54"/>
    <mergeCell ref="AD54:AI54"/>
    <mergeCell ref="AJ54:AK54"/>
    <mergeCell ref="S32:S33"/>
    <mergeCell ref="S54:S55"/>
    <mergeCell ref="B76:B77"/>
    <mergeCell ref="C76:C77"/>
    <mergeCell ref="E76:I76"/>
    <mergeCell ref="K76:P76"/>
    <mergeCell ref="Q76:Q77"/>
    <mergeCell ref="J76:J77"/>
    <mergeCell ref="AO54:AO55"/>
    <mergeCell ref="D54:D55"/>
    <mergeCell ref="AL76:AL77"/>
    <mergeCell ref="AM76:AM77"/>
    <mergeCell ref="AN76:AN77"/>
    <mergeCell ref="AO76:AO77"/>
    <mergeCell ref="D76:D77"/>
    <mergeCell ref="T76:T77"/>
    <mergeCell ref="U76:U77"/>
    <mergeCell ref="R76:R77"/>
    <mergeCell ref="V76:W76"/>
    <mergeCell ref="X76:AC76"/>
    <mergeCell ref="AD76:AI76"/>
    <mergeCell ref="AJ76:AK76"/>
    <mergeCell ref="S76:S77"/>
    <mergeCell ref="T54:T55"/>
    <mergeCell ref="D10:D11"/>
    <mergeCell ref="S10:S11"/>
    <mergeCell ref="AL54:AL55"/>
    <mergeCell ref="AM54:AM55"/>
    <mergeCell ref="AN54:AN55"/>
    <mergeCell ref="AM32:AM33"/>
    <mergeCell ref="AN32:AN33"/>
    <mergeCell ref="U10:U11"/>
    <mergeCell ref="B31:AO31"/>
    <mergeCell ref="B32:B33"/>
    <mergeCell ref="C32:C33"/>
    <mergeCell ref="E32:I32"/>
    <mergeCell ref="K32:P32"/>
    <mergeCell ref="Q32:Q33"/>
    <mergeCell ref="R32:R33"/>
    <mergeCell ref="V32:W32"/>
    <mergeCell ref="K2:O2"/>
    <mergeCell ref="B9:AO9"/>
    <mergeCell ref="B10:B11"/>
    <mergeCell ref="C10:C11"/>
    <mergeCell ref="E10:I10"/>
    <mergeCell ref="K10:P10"/>
    <mergeCell ref="AO10:AO11"/>
    <mergeCell ref="R10:R11"/>
    <mergeCell ref="V10:W10"/>
    <mergeCell ref="X10:AC10"/>
    <mergeCell ref="Q10:Q11"/>
    <mergeCell ref="AM10:AM11"/>
    <mergeCell ref="AN10:AN11"/>
    <mergeCell ref="T10:T11"/>
    <mergeCell ref="AD2:AH2"/>
    <mergeCell ref="AD10:AI10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F4C7-65F5-4782-8DC6-6A07246773B2}">
  <sheetPr>
    <pageSetUpPr fitToPage="1"/>
  </sheetPr>
  <dimension ref="B2:V45"/>
  <sheetViews>
    <sheetView showGridLines="0" topLeftCell="A4" zoomScale="90" zoomScaleNormal="90" workbookViewId="0">
      <selection activeCell="C11" sqref="C11"/>
    </sheetView>
  </sheetViews>
  <sheetFormatPr defaultColWidth="9.109375" defaultRowHeight="13.8" x14ac:dyDescent="0.3"/>
  <cols>
    <col min="1" max="1" width="2.88671875" style="155" customWidth="1"/>
    <col min="2" max="2" width="6.109375" style="155" customWidth="1"/>
    <col min="3" max="3" width="11.88671875" style="155" bestFit="1" customWidth="1"/>
    <col min="4" max="4" width="43.109375" style="156" customWidth="1"/>
    <col min="5" max="5" width="14" style="155" customWidth="1"/>
    <col min="6" max="19" width="11" style="155" customWidth="1"/>
    <col min="20" max="20" width="15" style="155" customWidth="1"/>
    <col min="21" max="21" width="39.44140625" style="155" customWidth="1"/>
    <col min="22" max="22" width="6.109375" style="155" customWidth="1"/>
    <col min="23" max="16384" width="9.109375" style="155"/>
  </cols>
  <sheetData>
    <row r="2" spans="2:22" x14ac:dyDescent="0.3">
      <c r="B2" s="157"/>
      <c r="C2" s="158"/>
      <c r="D2" s="159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60"/>
    </row>
    <row r="3" spans="2:22" ht="20.25" customHeight="1" x14ac:dyDescent="0.3">
      <c r="B3" s="161"/>
      <c r="C3" s="162" t="s">
        <v>65</v>
      </c>
      <c r="D3" s="189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4"/>
      <c r="V3" s="165"/>
    </row>
    <row r="4" spans="2:22" ht="20.25" customHeight="1" x14ac:dyDescent="0.3">
      <c r="B4" s="161"/>
      <c r="C4" s="166" t="s">
        <v>66</v>
      </c>
      <c r="D4" s="156" t="s">
        <v>67</v>
      </c>
      <c r="K4" s="167"/>
      <c r="M4" s="167"/>
      <c r="U4" s="165"/>
      <c r="V4" s="165"/>
    </row>
    <row r="5" spans="2:22" ht="20.25" customHeight="1" x14ac:dyDescent="0.3">
      <c r="B5" s="161"/>
      <c r="C5" s="166" t="s">
        <v>68</v>
      </c>
      <c r="D5" s="156" t="s">
        <v>67</v>
      </c>
      <c r="G5" s="167"/>
      <c r="I5" s="171" t="s">
        <v>69</v>
      </c>
      <c r="J5" s="155" t="s">
        <v>67</v>
      </c>
      <c r="O5" s="167"/>
      <c r="Q5" s="171" t="s">
        <v>69</v>
      </c>
      <c r="R5" s="155" t="s">
        <v>67</v>
      </c>
      <c r="U5" s="165"/>
      <c r="V5" s="165"/>
    </row>
    <row r="6" spans="2:22" ht="20.25" customHeight="1" x14ac:dyDescent="0.3">
      <c r="B6" s="161"/>
      <c r="C6" s="168" t="s">
        <v>70</v>
      </c>
      <c r="D6" s="188" t="s">
        <v>67</v>
      </c>
      <c r="E6" s="169"/>
      <c r="F6" s="169"/>
      <c r="I6" s="171" t="s">
        <v>71</v>
      </c>
      <c r="J6" s="155" t="s">
        <v>67</v>
      </c>
      <c r="P6" s="169"/>
      <c r="Q6" s="171" t="s">
        <v>71</v>
      </c>
      <c r="R6" s="155" t="s">
        <v>67</v>
      </c>
      <c r="S6" s="169"/>
      <c r="T6" s="169"/>
      <c r="U6" s="170"/>
      <c r="V6" s="165"/>
    </row>
    <row r="7" spans="2:22" ht="24.75" customHeight="1" x14ac:dyDescent="0.3">
      <c r="B7" s="161"/>
      <c r="C7" s="171"/>
      <c r="G7" s="158"/>
      <c r="H7" s="158"/>
      <c r="I7" s="158"/>
      <c r="J7" s="158"/>
      <c r="K7" s="158"/>
      <c r="L7" s="158"/>
      <c r="M7" s="158"/>
      <c r="N7" s="158"/>
      <c r="O7" s="158"/>
      <c r="Q7" s="158"/>
      <c r="R7" s="158"/>
      <c r="V7" s="165"/>
    </row>
    <row r="8" spans="2:22" x14ac:dyDescent="0.3">
      <c r="B8" s="161"/>
      <c r="C8" s="238" t="s">
        <v>72</v>
      </c>
      <c r="D8" s="241" t="s">
        <v>73</v>
      </c>
      <c r="E8" s="244" t="s">
        <v>74</v>
      </c>
      <c r="F8" s="172" t="s">
        <v>75</v>
      </c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4"/>
      <c r="V8" s="165"/>
    </row>
    <row r="9" spans="2:22" x14ac:dyDescent="0.3">
      <c r="B9" s="161"/>
      <c r="C9" s="239"/>
      <c r="D9" s="242"/>
      <c r="E9" s="245"/>
      <c r="F9" s="175" t="s">
        <v>76</v>
      </c>
      <c r="G9" s="175"/>
      <c r="H9" s="175" t="s">
        <v>77</v>
      </c>
      <c r="I9" s="175"/>
      <c r="J9" s="175" t="s">
        <v>78</v>
      </c>
      <c r="K9" s="175"/>
      <c r="L9" s="175" t="s">
        <v>79</v>
      </c>
      <c r="M9" s="175"/>
      <c r="N9" s="175" t="s">
        <v>80</v>
      </c>
      <c r="O9" s="175"/>
      <c r="P9" s="175" t="s">
        <v>81</v>
      </c>
      <c r="Q9" s="175"/>
      <c r="R9" s="175" t="s">
        <v>82</v>
      </c>
      <c r="S9" s="175"/>
      <c r="T9" s="232" t="s">
        <v>83</v>
      </c>
      <c r="U9" s="232" t="s">
        <v>84</v>
      </c>
      <c r="V9" s="165"/>
    </row>
    <row r="10" spans="2:22" ht="27.6" x14ac:dyDescent="0.3">
      <c r="B10" s="161"/>
      <c r="C10" s="240"/>
      <c r="D10" s="243"/>
      <c r="E10" s="246"/>
      <c r="F10" s="191" t="s">
        <v>85</v>
      </c>
      <c r="G10" s="191" t="s">
        <v>86</v>
      </c>
      <c r="H10" s="191" t="s">
        <v>85</v>
      </c>
      <c r="I10" s="191" t="s">
        <v>86</v>
      </c>
      <c r="J10" s="191" t="s">
        <v>85</v>
      </c>
      <c r="K10" s="191" t="s">
        <v>86</v>
      </c>
      <c r="L10" s="191" t="s">
        <v>85</v>
      </c>
      <c r="M10" s="191" t="s">
        <v>86</v>
      </c>
      <c r="N10" s="191" t="s">
        <v>85</v>
      </c>
      <c r="O10" s="191" t="s">
        <v>86</v>
      </c>
      <c r="P10" s="191" t="s">
        <v>85</v>
      </c>
      <c r="Q10" s="191" t="s">
        <v>86</v>
      </c>
      <c r="R10" s="191" t="s">
        <v>85</v>
      </c>
      <c r="S10" s="191" t="s">
        <v>86</v>
      </c>
      <c r="T10" s="233"/>
      <c r="U10" s="233"/>
      <c r="V10" s="165"/>
    </row>
    <row r="11" spans="2:22" ht="33.75" customHeight="1" x14ac:dyDescent="0.3">
      <c r="B11" s="161"/>
      <c r="C11" s="194">
        <v>11279</v>
      </c>
      <c r="D11" s="195" t="s">
        <v>28</v>
      </c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7"/>
      <c r="U11" s="178"/>
      <c r="V11" s="165"/>
    </row>
    <row r="12" spans="2:22" ht="33.75" customHeight="1" x14ac:dyDescent="0.3">
      <c r="B12" s="161"/>
      <c r="C12" s="192" t="s">
        <v>29</v>
      </c>
      <c r="D12" s="193" t="s">
        <v>30</v>
      </c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80"/>
      <c r="U12" s="181"/>
      <c r="V12" s="165"/>
    </row>
    <row r="13" spans="2:22" ht="33.75" customHeight="1" x14ac:dyDescent="0.3">
      <c r="B13" s="161"/>
      <c r="C13" s="192">
        <v>10154</v>
      </c>
      <c r="D13" s="193" t="s">
        <v>31</v>
      </c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80"/>
      <c r="U13" s="181"/>
      <c r="V13" s="165"/>
    </row>
    <row r="14" spans="2:22" ht="33.75" customHeight="1" x14ac:dyDescent="0.3">
      <c r="B14" s="161"/>
      <c r="C14" s="192">
        <v>10155</v>
      </c>
      <c r="D14" s="193" t="s">
        <v>32</v>
      </c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80"/>
      <c r="U14" s="181"/>
      <c r="V14" s="165"/>
    </row>
    <row r="15" spans="2:22" ht="33.75" customHeight="1" x14ac:dyDescent="0.3">
      <c r="B15" s="161"/>
      <c r="C15" s="192">
        <v>11332</v>
      </c>
      <c r="D15" s="193" t="s">
        <v>33</v>
      </c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80"/>
      <c r="U15" s="181"/>
      <c r="V15" s="165"/>
    </row>
    <row r="16" spans="2:22" ht="33.75" customHeight="1" x14ac:dyDescent="0.3">
      <c r="B16" s="161"/>
      <c r="C16" s="192" t="s">
        <v>34</v>
      </c>
      <c r="D16" s="193" t="s">
        <v>35</v>
      </c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80"/>
      <c r="U16" s="181"/>
      <c r="V16" s="165"/>
    </row>
    <row r="17" spans="2:22" ht="33.75" customHeight="1" x14ac:dyDescent="0.3">
      <c r="B17" s="161"/>
      <c r="C17" s="192">
        <v>11090</v>
      </c>
      <c r="D17" s="193" t="s">
        <v>36</v>
      </c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80"/>
      <c r="U17" s="181"/>
      <c r="V17" s="165"/>
    </row>
    <row r="18" spans="2:22" ht="33.75" customHeight="1" x14ac:dyDescent="0.3">
      <c r="B18" s="161"/>
      <c r="C18" s="192">
        <v>10073</v>
      </c>
      <c r="D18" s="193" t="s">
        <v>37</v>
      </c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80"/>
      <c r="U18" s="181"/>
      <c r="V18" s="165"/>
    </row>
    <row r="19" spans="2:22" ht="33.75" customHeight="1" x14ac:dyDescent="0.3">
      <c r="B19" s="161"/>
      <c r="C19" s="192">
        <v>10970</v>
      </c>
      <c r="D19" s="193" t="s">
        <v>38</v>
      </c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80"/>
      <c r="U19" s="181"/>
      <c r="V19" s="165"/>
    </row>
    <row r="20" spans="2:22" ht="33.75" customHeight="1" x14ac:dyDescent="0.3">
      <c r="B20" s="161"/>
      <c r="C20" s="192" t="s">
        <v>39</v>
      </c>
      <c r="D20" s="193" t="s">
        <v>40</v>
      </c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80"/>
      <c r="U20" s="181"/>
      <c r="V20" s="165"/>
    </row>
    <row r="21" spans="2:22" ht="33.75" customHeight="1" x14ac:dyDescent="0.3">
      <c r="B21" s="161"/>
      <c r="C21" s="192">
        <v>11442</v>
      </c>
      <c r="D21" s="193" t="s">
        <v>41</v>
      </c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80"/>
      <c r="U21" s="181"/>
      <c r="V21" s="165"/>
    </row>
    <row r="22" spans="2:22" ht="33.75" customHeight="1" x14ac:dyDescent="0.3">
      <c r="B22" s="161"/>
      <c r="C22" s="192">
        <v>11515</v>
      </c>
      <c r="D22" s="193" t="s">
        <v>42</v>
      </c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80"/>
      <c r="U22" s="181"/>
      <c r="V22" s="165"/>
    </row>
    <row r="23" spans="2:22" ht="33.75" customHeight="1" x14ac:dyDescent="0.3">
      <c r="B23" s="161"/>
      <c r="C23" s="192" t="s">
        <v>43</v>
      </c>
      <c r="D23" s="193" t="s">
        <v>44</v>
      </c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80"/>
      <c r="U23" s="181"/>
      <c r="V23" s="165"/>
    </row>
    <row r="24" spans="2:22" ht="33.75" customHeight="1" x14ac:dyDescent="0.3">
      <c r="B24" s="161"/>
      <c r="C24" s="192" t="s">
        <v>45</v>
      </c>
      <c r="D24" s="193" t="s">
        <v>46</v>
      </c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80"/>
      <c r="U24" s="181"/>
      <c r="V24" s="165"/>
    </row>
    <row r="25" spans="2:22" ht="33.75" customHeight="1" x14ac:dyDescent="0.3">
      <c r="B25" s="161"/>
      <c r="C25" s="192">
        <v>11226</v>
      </c>
      <c r="D25" s="193" t="s">
        <v>47</v>
      </c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80"/>
      <c r="U25" s="181"/>
      <c r="V25" s="165"/>
    </row>
    <row r="26" spans="2:22" ht="33.75" customHeight="1" x14ac:dyDescent="0.3">
      <c r="B26" s="161"/>
      <c r="C26" s="192">
        <v>10074</v>
      </c>
      <c r="D26" s="193" t="s">
        <v>48</v>
      </c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80"/>
      <c r="U26" s="181"/>
      <c r="V26" s="165"/>
    </row>
    <row r="27" spans="2:22" ht="33.75" customHeight="1" x14ac:dyDescent="0.3">
      <c r="B27" s="161"/>
      <c r="C27" s="192">
        <v>11291</v>
      </c>
      <c r="D27" s="193" t="s">
        <v>49</v>
      </c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80"/>
      <c r="U27" s="181"/>
      <c r="V27" s="165"/>
    </row>
    <row r="28" spans="2:22" ht="33.75" customHeight="1" x14ac:dyDescent="0.3">
      <c r="B28" s="161"/>
      <c r="C28" s="192">
        <v>11290</v>
      </c>
      <c r="D28" s="193" t="s">
        <v>50</v>
      </c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80"/>
      <c r="U28" s="181"/>
      <c r="V28" s="165"/>
    </row>
    <row r="29" spans="2:22" ht="33.75" customHeight="1" x14ac:dyDescent="0.3">
      <c r="B29" s="161"/>
      <c r="C29" s="234" t="s">
        <v>87</v>
      </c>
      <c r="D29" s="235"/>
      <c r="E29" s="179"/>
      <c r="F29" s="230"/>
      <c r="G29" s="231"/>
      <c r="H29" s="230"/>
      <c r="I29" s="231"/>
      <c r="J29" s="230"/>
      <c r="K29" s="231"/>
      <c r="L29" s="230"/>
      <c r="M29" s="231"/>
      <c r="N29" s="230"/>
      <c r="O29" s="231"/>
      <c r="P29" s="230"/>
      <c r="Q29" s="231"/>
      <c r="R29" s="230"/>
      <c r="S29" s="231"/>
      <c r="T29" s="180"/>
      <c r="U29" s="181"/>
      <c r="V29" s="165"/>
    </row>
    <row r="30" spans="2:22" ht="33.75" customHeight="1" x14ac:dyDescent="0.3">
      <c r="B30" s="161"/>
      <c r="C30" s="236" t="s">
        <v>88</v>
      </c>
      <c r="D30" s="237"/>
      <c r="E30" s="182"/>
      <c r="F30" s="228"/>
      <c r="G30" s="229"/>
      <c r="H30" s="228"/>
      <c r="I30" s="229"/>
      <c r="J30" s="228"/>
      <c r="K30" s="229"/>
      <c r="L30" s="228"/>
      <c r="M30" s="229"/>
      <c r="N30" s="228"/>
      <c r="O30" s="229"/>
      <c r="P30" s="228"/>
      <c r="Q30" s="229"/>
      <c r="R30" s="228"/>
      <c r="S30" s="229"/>
      <c r="T30" s="183"/>
      <c r="U30" s="184"/>
      <c r="V30" s="165"/>
    </row>
    <row r="31" spans="2:22" x14ac:dyDescent="0.3">
      <c r="B31" s="161"/>
      <c r="V31" s="165"/>
    </row>
    <row r="32" spans="2:22" x14ac:dyDescent="0.3">
      <c r="B32" s="161"/>
      <c r="D32" s="185" t="s">
        <v>89</v>
      </c>
      <c r="V32" s="165"/>
    </row>
    <row r="33" spans="2:22" ht="18.75" customHeight="1" x14ac:dyDescent="0.3">
      <c r="B33" s="161"/>
      <c r="C33" s="171" t="s">
        <v>90</v>
      </c>
      <c r="D33" s="155" t="s">
        <v>91</v>
      </c>
      <c r="V33" s="165"/>
    </row>
    <row r="34" spans="2:22" ht="18.75" customHeight="1" x14ac:dyDescent="0.3">
      <c r="B34" s="161"/>
      <c r="C34" s="171" t="s">
        <v>92</v>
      </c>
      <c r="D34" s="155" t="s">
        <v>91</v>
      </c>
      <c r="V34" s="165"/>
    </row>
    <row r="35" spans="2:22" ht="18.75" customHeight="1" x14ac:dyDescent="0.3">
      <c r="B35" s="161"/>
      <c r="C35" s="171" t="s">
        <v>93</v>
      </c>
      <c r="D35" s="155" t="s">
        <v>91</v>
      </c>
      <c r="V35" s="165"/>
    </row>
    <row r="36" spans="2:22" ht="18.75" customHeight="1" x14ac:dyDescent="0.3">
      <c r="B36" s="161"/>
      <c r="C36" s="171" t="s">
        <v>94</v>
      </c>
      <c r="D36" s="155" t="s">
        <v>91</v>
      </c>
      <c r="V36" s="165"/>
    </row>
    <row r="37" spans="2:22" ht="18.75" customHeight="1" x14ac:dyDescent="0.3">
      <c r="B37" s="161"/>
      <c r="C37" s="171" t="s">
        <v>95</v>
      </c>
      <c r="D37" s="155" t="s">
        <v>91</v>
      </c>
      <c r="V37" s="165"/>
    </row>
    <row r="38" spans="2:22" ht="18.75" customHeight="1" x14ac:dyDescent="0.3">
      <c r="B38" s="161"/>
      <c r="C38" s="171" t="s">
        <v>96</v>
      </c>
      <c r="D38" s="155" t="s">
        <v>91</v>
      </c>
      <c r="V38" s="165"/>
    </row>
    <row r="39" spans="2:22" ht="18.75" customHeight="1" x14ac:dyDescent="0.3">
      <c r="B39" s="161"/>
      <c r="C39" s="171" t="s">
        <v>97</v>
      </c>
      <c r="D39" s="155" t="s">
        <v>91</v>
      </c>
      <c r="V39" s="165"/>
    </row>
    <row r="40" spans="2:22" x14ac:dyDescent="0.3">
      <c r="B40" s="161"/>
      <c r="V40" s="165"/>
    </row>
    <row r="41" spans="2:22" ht="24" customHeight="1" x14ac:dyDescent="0.3">
      <c r="B41" s="161"/>
      <c r="D41" s="167" t="s">
        <v>98</v>
      </c>
      <c r="E41" s="167" t="s">
        <v>99</v>
      </c>
      <c r="F41" s="167"/>
      <c r="G41" s="167"/>
      <c r="H41" s="167"/>
      <c r="I41" s="167"/>
      <c r="L41" s="186" t="s">
        <v>100</v>
      </c>
      <c r="M41" s="167" t="s">
        <v>101</v>
      </c>
      <c r="N41" s="167"/>
      <c r="O41" s="167"/>
      <c r="S41" s="167" t="s">
        <v>102</v>
      </c>
      <c r="T41" s="167" t="s">
        <v>101</v>
      </c>
      <c r="U41" s="167"/>
      <c r="V41" s="190"/>
    </row>
    <row r="42" spans="2:22" ht="24" customHeight="1" x14ac:dyDescent="0.3">
      <c r="B42" s="161"/>
      <c r="D42" s="167" t="s">
        <v>103</v>
      </c>
      <c r="E42" s="167" t="s">
        <v>99</v>
      </c>
      <c r="F42" s="167"/>
      <c r="G42" s="167"/>
      <c r="H42" s="167"/>
      <c r="I42" s="167"/>
      <c r="L42" s="186" t="s">
        <v>100</v>
      </c>
      <c r="M42" s="167" t="s">
        <v>101</v>
      </c>
      <c r="N42" s="167"/>
      <c r="O42" s="167"/>
      <c r="S42" s="167" t="s">
        <v>102</v>
      </c>
      <c r="T42" s="167" t="s">
        <v>101</v>
      </c>
      <c r="U42" s="167"/>
      <c r="V42" s="190"/>
    </row>
    <row r="43" spans="2:22" ht="24" customHeight="1" x14ac:dyDescent="0.3">
      <c r="B43" s="161"/>
      <c r="D43" s="167" t="s">
        <v>104</v>
      </c>
      <c r="E43" s="167" t="s">
        <v>99</v>
      </c>
      <c r="F43" s="167"/>
      <c r="G43" s="167"/>
      <c r="H43" s="167"/>
      <c r="I43" s="167"/>
      <c r="L43" s="186" t="s">
        <v>100</v>
      </c>
      <c r="M43" s="167" t="s">
        <v>101</v>
      </c>
      <c r="N43" s="167"/>
      <c r="O43" s="167"/>
      <c r="S43" s="167" t="s">
        <v>102</v>
      </c>
      <c r="T43" s="167" t="s">
        <v>101</v>
      </c>
      <c r="U43" s="167"/>
      <c r="V43" s="190"/>
    </row>
    <row r="44" spans="2:22" x14ac:dyDescent="0.3">
      <c r="B44" s="161"/>
      <c r="V44" s="165"/>
    </row>
    <row r="45" spans="2:22" x14ac:dyDescent="0.3">
      <c r="B45" s="187"/>
      <c r="C45" s="169"/>
      <c r="D45" s="188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70"/>
    </row>
  </sheetData>
  <mergeCells count="21">
    <mergeCell ref="C29:D29"/>
    <mergeCell ref="C30:D30"/>
    <mergeCell ref="C8:C10"/>
    <mergeCell ref="D8:D10"/>
    <mergeCell ref="E8:E10"/>
    <mergeCell ref="T9:T10"/>
    <mergeCell ref="U9:U10"/>
    <mergeCell ref="R30:S30"/>
    <mergeCell ref="R29:S29"/>
    <mergeCell ref="P30:Q30"/>
    <mergeCell ref="P29:Q29"/>
    <mergeCell ref="H30:I30"/>
    <mergeCell ref="H29:I29"/>
    <mergeCell ref="F30:G30"/>
    <mergeCell ref="F29:G29"/>
    <mergeCell ref="N30:O30"/>
    <mergeCell ref="N29:O29"/>
    <mergeCell ref="L30:M30"/>
    <mergeCell ref="L29:M29"/>
    <mergeCell ref="J30:K30"/>
    <mergeCell ref="J29:K29"/>
  </mergeCells>
  <pageMargins left="0.23622047244094491" right="0.23622047244094491" top="0.74803149606299213" bottom="0.74803149606299213" header="0.31496062992125984" footer="0.31496062992125984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377EF-F226-4AE2-8FA1-73A9BA3B80B5}">
  <dimension ref="B2:H42"/>
  <sheetViews>
    <sheetView workbookViewId="0">
      <selection activeCell="K14" sqref="K14"/>
    </sheetView>
  </sheetViews>
  <sheetFormatPr defaultRowHeight="14.4" x14ac:dyDescent="0.3"/>
  <cols>
    <col min="1" max="1" width="3.44140625" customWidth="1"/>
    <col min="2" max="2" width="10.33203125" bestFit="1" customWidth="1"/>
    <col min="3" max="3" width="62.33203125" customWidth="1"/>
    <col min="5" max="5" width="10.6640625" style="66" customWidth="1"/>
    <col min="6" max="6" width="11.88671875" style="66" customWidth="1"/>
    <col min="7" max="7" width="11.88671875" style="66" hidden="1" customWidth="1"/>
    <col min="8" max="8" width="11.88671875" style="66" customWidth="1"/>
  </cols>
  <sheetData>
    <row r="2" spans="2:8" s="23" customFormat="1" ht="43.2" x14ac:dyDescent="0.3">
      <c r="B2" s="67" t="s">
        <v>105</v>
      </c>
      <c r="C2" s="67" t="s">
        <v>8</v>
      </c>
      <c r="D2" s="68" t="s">
        <v>7</v>
      </c>
      <c r="E2" s="85" t="s">
        <v>106</v>
      </c>
      <c r="F2" s="85" t="s">
        <v>107</v>
      </c>
      <c r="G2" s="85" t="s">
        <v>108</v>
      </c>
      <c r="H2" s="85" t="s">
        <v>109</v>
      </c>
    </row>
    <row r="3" spans="2:8" x14ac:dyDescent="0.3">
      <c r="B3" s="247" t="s">
        <v>2</v>
      </c>
      <c r="C3" s="69" t="s">
        <v>28</v>
      </c>
      <c r="D3" s="70">
        <v>11279</v>
      </c>
      <c r="E3" s="86">
        <f>(Table1[[#This Row],[Utilization/ pc in NAV (Kg)]]*Table1[[#This Row],[Qnty/ Stove]])+('Master Data'!E4*'Master Data'!F4)+('Master Data'!E5*'Master Data'!F5)+('Master Data'!E15*'Master Data'!F15)</f>
        <v>0.96429999999999993</v>
      </c>
      <c r="F3" s="87">
        <f>(Table1[[#This Row],[Qnty/ Stove]]*Table1[[#This Row],[Calculated Utilization (Kg)]])+('Master Data'!F4*'Master Data'!M4)+('Master Data'!F5*'Master Data'!M5)+('Master Data'!F15*'Master Data'!M15)</f>
        <v>0.93492979683455879</v>
      </c>
      <c r="G3" s="94">
        <f>F3-E3</f>
        <v>-2.9370203165441144E-2</v>
      </c>
      <c r="H3" s="86"/>
    </row>
    <row r="4" spans="2:8" x14ac:dyDescent="0.3">
      <c r="B4" s="247"/>
      <c r="C4" s="69" t="s">
        <v>30</v>
      </c>
      <c r="D4" s="70" t="s">
        <v>29</v>
      </c>
      <c r="E4" s="86">
        <f>('Master Data'!E6*'Master Data'!F6)+('Master Data'!E16*'Master Data'!F16)</f>
        <v>0.2646</v>
      </c>
      <c r="F4" s="92">
        <f>('Master Data'!F6*'Master Data'!M6)+('Master Data'!F16*'Master Data'!M16)</f>
        <v>0.27996031746031746</v>
      </c>
      <c r="G4" s="91">
        <f t="shared" ref="G4:G33" si="0">F4-E4</f>
        <v>1.5360317460317463E-2</v>
      </c>
      <c r="H4" s="86"/>
    </row>
    <row r="5" spans="2:8" x14ac:dyDescent="0.3">
      <c r="B5" s="247"/>
      <c r="C5" s="69" t="s">
        <v>31</v>
      </c>
      <c r="D5" s="70">
        <v>10154</v>
      </c>
      <c r="E5" s="86">
        <f>'Master Data'!E7*'Master Data'!F7</f>
        <v>5.3999999999999999E-2</v>
      </c>
      <c r="F5" s="88">
        <f>('Master Data'!F7*'Master Data'!M7)</f>
        <v>6.0267857142857144E-2</v>
      </c>
      <c r="G5" s="91">
        <f t="shared" si="0"/>
        <v>6.2678571428571445E-3</v>
      </c>
      <c r="H5" s="86"/>
    </row>
    <row r="6" spans="2:8" x14ac:dyDescent="0.3">
      <c r="B6" s="247"/>
      <c r="C6" s="69" t="s">
        <v>32</v>
      </c>
      <c r="D6" s="70">
        <v>10155</v>
      </c>
      <c r="E6" s="86">
        <f>('Master Data'!E8*'Master Data'!F8)+('Master Data'!E9*'Master Data'!F9)+('Master Data'!E10*'Master Data'!F10)+('Master Data'!E12*'Master Data'!F12)+('Master Data'!E13*'Master Data'!F13)+('Master Data'!E14*'Master Data'!F14)</f>
        <v>0.66821000000000008</v>
      </c>
      <c r="F6" s="87">
        <f>('Master Data'!F8*'Master Data'!M8)+('Master Data'!F9*'Master Data'!M9)+('Master Data'!F10*'Master Data'!M10)+('Master Data'!F12*'Master Data'!M12)+('Master Data'!F13*'Master Data'!M13)+('Master Data'!F14*'Master Data'!M14)</f>
        <v>0.71627091015979893</v>
      </c>
      <c r="G6" s="94">
        <f t="shared" si="0"/>
        <v>4.8060910159798853E-2</v>
      </c>
      <c r="H6" s="86"/>
    </row>
    <row r="7" spans="2:8" x14ac:dyDescent="0.3">
      <c r="B7" s="247"/>
      <c r="C7" s="69" t="s">
        <v>33</v>
      </c>
      <c r="D7" s="70">
        <v>11332</v>
      </c>
      <c r="E7" s="86">
        <f>'Master Data'!E11*'Master Data'!F11</f>
        <v>0.51670000000000005</v>
      </c>
      <c r="F7" s="88">
        <f>'Master Data'!F11*'Master Data'!M11</f>
        <v>0.52833333333333332</v>
      </c>
      <c r="G7" s="91">
        <f t="shared" si="0"/>
        <v>1.1633333333333273E-2</v>
      </c>
      <c r="H7" s="86"/>
    </row>
    <row r="8" spans="2:8" x14ac:dyDescent="0.3">
      <c r="B8" s="247"/>
      <c r="C8" s="69" t="s">
        <v>35</v>
      </c>
      <c r="D8" s="70" t="s">
        <v>34</v>
      </c>
      <c r="E8" s="86">
        <f>'Master Data'!E18*'Master Data'!F18</f>
        <v>1.08</v>
      </c>
      <c r="F8" s="88">
        <f>'Master Data'!F18*'Master Data'!M18</f>
        <v>1.1142857142857143</v>
      </c>
      <c r="G8" s="94">
        <f t="shared" si="0"/>
        <v>3.4285714285714253E-2</v>
      </c>
      <c r="H8" s="86"/>
    </row>
    <row r="9" spans="2:8" x14ac:dyDescent="0.3">
      <c r="B9" s="247"/>
      <c r="C9" s="71" t="s">
        <v>36</v>
      </c>
      <c r="D9" s="72">
        <v>11090</v>
      </c>
      <c r="E9" s="86">
        <f>'Master Data'!E19*'Master Data'!F19</f>
        <v>3.56E-2</v>
      </c>
      <c r="F9" s="87">
        <f>('Master Data'!F19*'Master Data'!M19)+('Master Data'!F20*'Master Data'!M20)</f>
        <v>4.8255239951228684E-2</v>
      </c>
      <c r="G9" s="91">
        <f t="shared" si="0"/>
        <v>1.2655239951228685E-2</v>
      </c>
      <c r="H9" s="86"/>
    </row>
    <row r="10" spans="2:8" x14ac:dyDescent="0.3">
      <c r="B10" s="247"/>
      <c r="C10" s="69" t="s">
        <v>37</v>
      </c>
      <c r="D10" s="70">
        <v>10073</v>
      </c>
      <c r="E10" s="86">
        <f>'Master Data'!E17*'Master Data'!F17</f>
        <v>0.11</v>
      </c>
      <c r="F10" s="89"/>
      <c r="G10" s="95"/>
      <c r="H10" s="86"/>
    </row>
    <row r="11" spans="2:8" x14ac:dyDescent="0.3">
      <c r="B11" s="247" t="s">
        <v>22</v>
      </c>
      <c r="C11" s="73" t="s">
        <v>28</v>
      </c>
      <c r="D11" s="74">
        <v>11279</v>
      </c>
      <c r="E11" s="86">
        <f>('Master Data'!E21*'Master Data'!F21)+('Master Data'!E23*'Master Data'!F23)</f>
        <v>0.2414</v>
      </c>
      <c r="F11" s="87">
        <f>('Master Data'!F21*'Master Data'!M21)+('Master Data'!F23*'Master Data'!M23)</f>
        <v>0.23595959595959598</v>
      </c>
      <c r="G11" s="91">
        <f t="shared" si="0"/>
        <v>-5.4404040404040233E-3</v>
      </c>
      <c r="H11" s="86"/>
    </row>
    <row r="12" spans="2:8" x14ac:dyDescent="0.3">
      <c r="B12" s="247"/>
      <c r="C12" s="73" t="s">
        <v>38</v>
      </c>
      <c r="D12" s="74">
        <v>10970</v>
      </c>
      <c r="E12" s="86">
        <f>('Master Data'!E22*'Master Data'!F22)+('Master Data'!E33*'Master Data'!F33)+('Master Data'!E34*'Master Data'!F34)</f>
        <v>0.4103</v>
      </c>
      <c r="F12" s="87">
        <f>('Master Data'!F22*'Master Data'!M22)+('Master Data'!F33*'Master Data'!M33)+('Master Data'!F34*'Master Data'!M34)</f>
        <v>0.38857142857142851</v>
      </c>
      <c r="G12" s="96">
        <f t="shared" si="0"/>
        <v>-2.1728571428571486E-2</v>
      </c>
      <c r="H12" s="86"/>
    </row>
    <row r="13" spans="2:8" x14ac:dyDescent="0.3">
      <c r="B13" s="247"/>
      <c r="C13" s="73" t="s">
        <v>31</v>
      </c>
      <c r="D13" s="74">
        <v>10154</v>
      </c>
      <c r="E13" s="86">
        <f>'Master Data'!E24*'Master Data'!F24</f>
        <v>0.1646</v>
      </c>
      <c r="F13" s="87">
        <f>'Master Data'!F24*'Master Data'!M24</f>
        <v>0.16875000000000001</v>
      </c>
      <c r="G13" s="91">
        <f t="shared" si="0"/>
        <v>4.1500000000000148E-3</v>
      </c>
      <c r="H13" s="86"/>
    </row>
    <row r="14" spans="2:8" x14ac:dyDescent="0.3">
      <c r="B14" s="247"/>
      <c r="C14" s="75" t="s">
        <v>36</v>
      </c>
      <c r="D14" s="74">
        <v>11090</v>
      </c>
      <c r="E14" s="86">
        <f>('Master Data'!E25*'Master Data'!F25)+('Master Data'!E26*'Master Data'!F26)+('Master Data'!E37*'Master Data'!F37)</f>
        <v>7.2139999999999996E-2</v>
      </c>
      <c r="F14" s="88">
        <f>('Master Data'!F25*'Master Data'!M25)+('Master Data'!F26*'Master Data'!M26)+('Master Data'!F37*'Master Data'!M37)</f>
        <v>6.4598219384970748E-2</v>
      </c>
      <c r="G14" s="91">
        <f t="shared" si="0"/>
        <v>-7.5417806150292477E-3</v>
      </c>
      <c r="H14" s="86"/>
    </row>
    <row r="15" spans="2:8" x14ac:dyDescent="0.3">
      <c r="B15" s="247"/>
      <c r="C15" s="73" t="s">
        <v>110</v>
      </c>
      <c r="D15" s="74">
        <v>10155</v>
      </c>
      <c r="E15" s="86">
        <f>('Master Data'!E27*'Master Data'!F27)+('Master Data'!E29*'Master Data'!F29)+('Master Data'!E30*'Master Data'!F30)+('Master Data'!E31*'Master Data'!F31)+('Master Data'!E32*'Master Data'!F32)</f>
        <v>0.50700999999999996</v>
      </c>
      <c r="F15" s="88">
        <f>('Master Data'!F27*'Master Data'!M27)+('Master Data'!F29*'Master Data'!M29)+('Master Data'!F30*'Master Data'!M30)+('Master Data'!F31*'Master Data'!M30)+('Master Data'!F31*'Master Data'!M31)+('Master Data'!F32*'Master Data'!M32)</f>
        <v>0.5420023876467176</v>
      </c>
      <c r="G15" s="94">
        <f t="shared" si="0"/>
        <v>3.4992387646717638E-2</v>
      </c>
      <c r="H15" s="86"/>
    </row>
    <row r="16" spans="2:8" x14ac:dyDescent="0.3">
      <c r="B16" s="247"/>
      <c r="C16" s="73" t="s">
        <v>33</v>
      </c>
      <c r="D16" s="74">
        <v>11332</v>
      </c>
      <c r="E16" s="86">
        <f>'Master Data'!E28*'Master Data'!F28</f>
        <v>0.52669999999999995</v>
      </c>
      <c r="F16" s="88">
        <f>'Master Data'!F28*'Master Data'!M28</f>
        <v>0.52833333333333332</v>
      </c>
      <c r="G16" s="91">
        <f t="shared" si="0"/>
        <v>1.6333333333333755E-3</v>
      </c>
      <c r="H16" s="86"/>
    </row>
    <row r="17" spans="2:8" x14ac:dyDescent="0.3">
      <c r="B17" s="247"/>
      <c r="C17" s="73" t="s">
        <v>40</v>
      </c>
      <c r="D17" s="74" t="s">
        <v>39</v>
      </c>
      <c r="E17" s="86">
        <f>'Master Data'!E35*'Master Data'!F35</f>
        <v>0.55556000000000005</v>
      </c>
      <c r="F17" s="88">
        <f>'Master Data'!F35*'Master Data'!M35</f>
        <v>0.55555555555555558</v>
      </c>
      <c r="G17" s="91">
        <f t="shared" si="0"/>
        <v>-4.4444444444735609E-6</v>
      </c>
      <c r="H17" s="86"/>
    </row>
    <row r="18" spans="2:8" x14ac:dyDescent="0.3">
      <c r="B18" s="247"/>
      <c r="C18" s="76" t="s">
        <v>41</v>
      </c>
      <c r="D18" s="77">
        <v>11442</v>
      </c>
      <c r="E18" s="86">
        <f>'Master Data'!E36*'Master Data'!F36</f>
        <v>7.4340000000000003E-2</v>
      </c>
      <c r="F18" s="87">
        <f>'Master Data'!F36*'Master Data'!M36</f>
        <v>7.5641025641025636E-2</v>
      </c>
      <c r="G18" s="91">
        <f t="shared" si="0"/>
        <v>1.3010256410256327E-3</v>
      </c>
      <c r="H18" s="86"/>
    </row>
    <row r="19" spans="2:8" x14ac:dyDescent="0.3">
      <c r="B19" s="247" t="s">
        <v>23</v>
      </c>
      <c r="C19" s="78" t="s">
        <v>42</v>
      </c>
      <c r="D19" s="79">
        <v>11515</v>
      </c>
      <c r="E19" s="86">
        <f>('Master Data'!E38*'Master Data'!F38)+('Master Data'!E46*'Master Data'!F46)</f>
        <v>0.71702999999999995</v>
      </c>
      <c r="F19" s="90"/>
      <c r="G19" s="95"/>
      <c r="H19" s="133"/>
    </row>
    <row r="20" spans="2:8" x14ac:dyDescent="0.3">
      <c r="B20" s="247"/>
      <c r="C20" s="78" t="s">
        <v>31</v>
      </c>
      <c r="D20" s="79">
        <v>10154</v>
      </c>
      <c r="E20" s="86">
        <f>('Master Data'!E39*'Master Data'!F39)+('Master Data'!E47*'Master Data'!F47)+('Master Data'!E51*'Master Data'!F51)+('Master Data'!E52*'Master Data'!F52)+('Master Data'!E54*'Master Data'!F54)+('Master Data'!E55*'Master Data'!F55)+('Master Data'!E56*'Master Data'!F56)</f>
        <v>0.68471000000000004</v>
      </c>
      <c r="F20" s="87">
        <f>('Master Data'!F39*'Master Data'!M39)+('Master Data'!F47*'Master Data'!M47)+('Master Data'!F51*'Master Data'!M51)+('Master Data'!F52*'Master Data'!M52)+('Master Data'!F54*'Master Data'!M54)+('Master Data'!F55*'Master Data'!M55)+('Master Data'!F56*'Master Data'!M56)</f>
        <v>0.67259477157994985</v>
      </c>
      <c r="G20" s="91">
        <f t="shared" si="0"/>
        <v>-1.2115228420050195E-2</v>
      </c>
      <c r="H20" s="133"/>
    </row>
    <row r="21" spans="2:8" x14ac:dyDescent="0.3">
      <c r="B21" s="247"/>
      <c r="C21" s="80" t="s">
        <v>41</v>
      </c>
      <c r="D21" s="81">
        <v>11442</v>
      </c>
      <c r="E21" s="86">
        <f>'Master Data'!E40*'Master Data'!F40</f>
        <v>7.4340000000000003E-2</v>
      </c>
      <c r="F21" s="87">
        <f>'Master Data'!F40*'Master Data'!M40</f>
        <v>7.5641025641025636E-2</v>
      </c>
      <c r="G21" s="91">
        <f t="shared" si="0"/>
        <v>1.3010256410256327E-3</v>
      </c>
      <c r="H21" s="86"/>
    </row>
    <row r="22" spans="2:8" x14ac:dyDescent="0.3">
      <c r="B22" s="247"/>
      <c r="C22" s="78" t="s">
        <v>44</v>
      </c>
      <c r="D22" s="79" t="s">
        <v>43</v>
      </c>
      <c r="E22" s="86">
        <f>'Master Data'!E41*'Master Data'!F41</f>
        <v>0.1961</v>
      </c>
      <c r="F22" s="87">
        <f>'Master Data'!F41*'Master Data'!M41</f>
        <v>0.19722222222222222</v>
      </c>
      <c r="G22" s="91">
        <f t="shared" si="0"/>
        <v>1.1222222222222189E-3</v>
      </c>
      <c r="H22" s="86"/>
    </row>
    <row r="23" spans="2:8" x14ac:dyDescent="0.3">
      <c r="B23" s="247"/>
      <c r="C23" s="82" t="s">
        <v>36</v>
      </c>
      <c r="D23" s="79">
        <v>11090</v>
      </c>
      <c r="E23" s="86">
        <f>'Master Data'!E42*'Master Data'!F42</f>
        <v>1.154E-2</v>
      </c>
      <c r="F23" s="87">
        <f>'Master Data'!F42*'Master Data'!M42</f>
        <v>1.1229000884173296E-2</v>
      </c>
      <c r="G23" s="91">
        <f t="shared" si="0"/>
        <v>-3.1099911582670343E-4</v>
      </c>
      <c r="H23" s="86"/>
    </row>
    <row r="24" spans="2:8" x14ac:dyDescent="0.3">
      <c r="B24" s="247"/>
      <c r="C24" s="78" t="s">
        <v>28</v>
      </c>
      <c r="D24" s="79">
        <v>11279</v>
      </c>
      <c r="E24" s="86">
        <f>('Master Data'!E43*'Master Data'!F43)+('Master Data'!E44*'Master Data'!F44)+('Master Data'!E45*'Master Data'!F45)</f>
        <v>0.50680000000000003</v>
      </c>
      <c r="F24" s="89"/>
      <c r="G24" s="95"/>
      <c r="H24" s="86"/>
    </row>
    <row r="25" spans="2:8" x14ac:dyDescent="0.3">
      <c r="B25" s="247"/>
      <c r="C25" s="78" t="s">
        <v>46</v>
      </c>
      <c r="D25" s="79" t="s">
        <v>45</v>
      </c>
      <c r="E25" s="86">
        <f>'Master Data'!E48*'Master Data'!F48</f>
        <v>0.44950000000000001</v>
      </c>
      <c r="F25" s="88">
        <f>'Master Data'!F48*'Master Data'!M48</f>
        <v>0.45151515151515154</v>
      </c>
      <c r="G25" s="91">
        <f t="shared" si="0"/>
        <v>2.0151515151515254E-3</v>
      </c>
      <c r="H25" s="86"/>
    </row>
    <row r="26" spans="2:8" x14ac:dyDescent="0.3">
      <c r="B26" s="247"/>
      <c r="C26" s="78" t="s">
        <v>111</v>
      </c>
      <c r="D26" s="79">
        <v>10155</v>
      </c>
      <c r="E26" s="86">
        <f>'Master Data'!E49*'Master Data'!F49</f>
        <v>7.8899999999999998E-2</v>
      </c>
      <c r="F26" s="88">
        <f>'Master Data'!F49*'Master Data'!M49</f>
        <v>7.8695652173913055E-2</v>
      </c>
      <c r="G26" s="91">
        <f t="shared" si="0"/>
        <v>-2.0434782608694246E-4</v>
      </c>
      <c r="H26" s="86"/>
    </row>
    <row r="27" spans="2:8" x14ac:dyDescent="0.3">
      <c r="B27" s="247"/>
      <c r="C27" s="78" t="s">
        <v>47</v>
      </c>
      <c r="D27" s="79">
        <v>11226</v>
      </c>
      <c r="E27" s="86">
        <f>('Master Data'!E50*'Master Data'!F50)+('Master Data'!E53*'Master Data'!F53)</f>
        <v>0.47900999999999999</v>
      </c>
      <c r="F27" s="87">
        <f>('Master Data'!F50*'Master Data'!M50)+('Master Data'!F53*'Master Data'!M53)</f>
        <v>0.48479166666666668</v>
      </c>
      <c r="G27" s="88">
        <f t="shared" si="0"/>
        <v>5.7816666666666849E-3</v>
      </c>
      <c r="H27" s="86"/>
    </row>
    <row r="28" spans="2:8" x14ac:dyDescent="0.3">
      <c r="B28" s="247"/>
      <c r="C28" s="78" t="s">
        <v>49</v>
      </c>
      <c r="D28" s="79">
        <v>11291</v>
      </c>
      <c r="E28" s="86">
        <f>'Master Data'!E57*'Master Data'!F57</f>
        <v>8.0399999999999999E-2</v>
      </c>
      <c r="F28" s="89"/>
      <c r="G28" s="95"/>
      <c r="H28" s="86"/>
    </row>
    <row r="29" spans="2:8" x14ac:dyDescent="0.3">
      <c r="B29" s="247"/>
      <c r="C29" s="78" t="s">
        <v>50</v>
      </c>
      <c r="D29" s="79">
        <v>11290</v>
      </c>
      <c r="E29" s="86">
        <f>'Master Data'!E58*'Master Data'!F58</f>
        <v>5.5500000000000001E-2</v>
      </c>
      <c r="F29" s="89"/>
      <c r="G29" s="95"/>
      <c r="H29" s="86"/>
    </row>
    <row r="30" spans="2:8" x14ac:dyDescent="0.3">
      <c r="B30" s="247" t="s">
        <v>24</v>
      </c>
      <c r="C30" s="83" t="s">
        <v>36</v>
      </c>
      <c r="D30" s="84">
        <v>11090</v>
      </c>
      <c r="E30" s="86">
        <f>'Master Data'!E59*'Master Data'!F59</f>
        <v>0.40644999999999998</v>
      </c>
      <c r="F30" s="87">
        <f>'Master Data'!F59*'Master Data'!M59</f>
        <v>0.4096774193548387</v>
      </c>
      <c r="G30" s="91">
        <f t="shared" si="0"/>
        <v>3.2274193548387231E-3</v>
      </c>
      <c r="H30" s="86"/>
    </row>
    <row r="31" spans="2:8" x14ac:dyDescent="0.3">
      <c r="B31" s="247"/>
      <c r="C31" s="83" t="s">
        <v>31</v>
      </c>
      <c r="D31" s="84">
        <v>10154</v>
      </c>
      <c r="E31" s="86">
        <f>'Master Data'!E60*'Master Data'!F60</f>
        <v>5.7600000000000005E-2</v>
      </c>
      <c r="F31" s="88">
        <f>'Master Data'!F60*'Master Data'!M60</f>
        <v>5.478896103896104E-2</v>
      </c>
      <c r="G31" s="91">
        <f t="shared" si="0"/>
        <v>-2.8110389610389655E-3</v>
      </c>
      <c r="H31" s="86"/>
    </row>
    <row r="32" spans="2:8" x14ac:dyDescent="0.3">
      <c r="B32" s="247"/>
      <c r="C32" s="83" t="s">
        <v>46</v>
      </c>
      <c r="D32" s="84" t="s">
        <v>45</v>
      </c>
      <c r="E32" s="86">
        <f>('Master Data'!E61*'Master Data'!F61)+('Master Data'!E62*'Master Data'!F62)+('Master Data'!E64*'Master Data'!F64)</f>
        <v>2.6599999999999999E-2</v>
      </c>
      <c r="F32" s="87">
        <f>('Master Data'!F61*'Master Data'!M61)+('Master Data'!F62*'Master Data'!M62)+('Master Data'!F64*'Master Data'!M64)</f>
        <v>2.5120812146128602E-2</v>
      </c>
      <c r="G32" s="91">
        <f t="shared" si="0"/>
        <v>-1.4791878538713971E-3</v>
      </c>
      <c r="H32" s="86"/>
    </row>
    <row r="33" spans="2:8" x14ac:dyDescent="0.3">
      <c r="B33" s="247"/>
      <c r="C33" s="83" t="s">
        <v>47</v>
      </c>
      <c r="D33" s="84">
        <v>11226</v>
      </c>
      <c r="E33" s="86">
        <f>'Master Data'!E63*'Master Data'!F63</f>
        <v>0</v>
      </c>
      <c r="F33" s="86">
        <f>'Master Data'!F63*'Master Data'!M63</f>
        <v>0</v>
      </c>
      <c r="G33" s="91">
        <f t="shared" si="0"/>
        <v>0</v>
      </c>
      <c r="H33" s="86"/>
    </row>
    <row r="34" spans="2:8" x14ac:dyDescent="0.3">
      <c r="B34" s="248" t="s">
        <v>112</v>
      </c>
      <c r="C34" s="146" t="s">
        <v>28</v>
      </c>
      <c r="D34" s="147">
        <v>11279</v>
      </c>
      <c r="E34" s="86">
        <f>('Master Data'!F65*'Master Data'!L65)+('Master Data'!F66*'Master Data'!L66)+('Master Data'!F67*'Master Data'!L67)+('Master Data'!F68*'Master Data'!L68)+('Master Data'!F69*'Master Data'!L69)+('Master Data'!F76*'Master Data'!L76)+('Master Data'!F84*'Master Data'!L84)</f>
        <v>0.96900000000000008</v>
      </c>
      <c r="F34" s="86"/>
      <c r="G34" s="86"/>
      <c r="H34" s="86"/>
    </row>
    <row r="35" spans="2:8" x14ac:dyDescent="0.3">
      <c r="B35" s="248"/>
      <c r="C35" s="146" t="s">
        <v>31</v>
      </c>
      <c r="D35" s="147">
        <v>10154</v>
      </c>
      <c r="E35" s="86">
        <f>('Master Data'!F70*'Master Data'!L70)+('Master Data'!F74*'Master Data'!L74)+('Master Data'!F81*'Master Data'!L81)</f>
        <v>0.18989999999999999</v>
      </c>
      <c r="F35" s="86"/>
      <c r="G35" s="86"/>
      <c r="H35" s="86"/>
    </row>
    <row r="36" spans="2:8" x14ac:dyDescent="0.3">
      <c r="B36" s="248"/>
      <c r="C36" s="146" t="s">
        <v>111</v>
      </c>
      <c r="D36" s="147">
        <v>10155</v>
      </c>
      <c r="E36" s="86">
        <f>('Master Data'!F71*'Master Data'!L71)+('Master Data'!F72*'Master Data'!L72)+('Master Data'!F73*'Master Data'!L73)</f>
        <v>0.4622</v>
      </c>
      <c r="F36" s="86"/>
      <c r="G36" s="86"/>
      <c r="H36" s="86"/>
    </row>
    <row r="37" spans="2:8" x14ac:dyDescent="0.3">
      <c r="B37" s="248"/>
      <c r="C37" s="146" t="s">
        <v>48</v>
      </c>
      <c r="D37" s="147">
        <v>10074</v>
      </c>
      <c r="E37" s="86">
        <f>'Master Data'!F75*'Master Data'!L75</f>
        <v>7.92E-3</v>
      </c>
      <c r="F37" s="86"/>
      <c r="G37" s="86"/>
      <c r="H37" s="86"/>
    </row>
    <row r="38" spans="2:8" x14ac:dyDescent="0.3">
      <c r="B38" s="248"/>
      <c r="C38" s="146" t="s">
        <v>30</v>
      </c>
      <c r="D38" s="147" t="s">
        <v>29</v>
      </c>
      <c r="E38" s="86">
        <f>'Master Data'!F77*'Master Data'!L77</f>
        <v>6.3600000000000004E-2</v>
      </c>
      <c r="F38" s="86"/>
      <c r="G38" s="86"/>
      <c r="H38" s="86"/>
    </row>
    <row r="39" spans="2:8" x14ac:dyDescent="0.3">
      <c r="B39" s="248"/>
      <c r="C39" s="146" t="s">
        <v>113</v>
      </c>
      <c r="D39" s="147" t="s">
        <v>34</v>
      </c>
      <c r="E39" s="86">
        <f>('Master Data'!F78*'Master Data'!L78)+('Master Data'!F79*'Master Data'!L79)+('Master Data'!F80*'Master Data'!L80)</f>
        <v>0.82130000000000003</v>
      </c>
      <c r="F39" s="86"/>
      <c r="G39" s="86"/>
      <c r="H39" s="86"/>
    </row>
    <row r="40" spans="2:8" x14ac:dyDescent="0.3">
      <c r="B40" s="248"/>
      <c r="C40" s="146" t="s">
        <v>36</v>
      </c>
      <c r="D40" s="147">
        <v>11090</v>
      </c>
      <c r="E40" s="86">
        <f>'Master Data'!F82*'Master Data'!L82</f>
        <v>1.154E-2</v>
      </c>
      <c r="F40" s="86"/>
      <c r="G40" s="86"/>
      <c r="H40" s="86"/>
    </row>
    <row r="41" spans="2:8" x14ac:dyDescent="0.3">
      <c r="B41" s="248"/>
      <c r="C41" s="146" t="s">
        <v>37</v>
      </c>
      <c r="D41" s="147">
        <v>10073</v>
      </c>
      <c r="E41" s="86">
        <f>'Master Data'!F83*'Master Data'!L83</f>
        <v>0.11</v>
      </c>
      <c r="F41" s="86"/>
      <c r="G41" s="86"/>
      <c r="H41" s="86"/>
    </row>
    <row r="42" spans="2:8" x14ac:dyDescent="0.3">
      <c r="B42" s="248"/>
      <c r="C42" s="146" t="s">
        <v>33</v>
      </c>
      <c r="D42" s="147">
        <v>11332</v>
      </c>
      <c r="E42" s="86">
        <f>'Master Data'!F85*'Master Data'!L85</f>
        <v>0.58520000000000005</v>
      </c>
      <c r="F42" s="86"/>
      <c r="G42" s="86"/>
      <c r="H42" s="86"/>
    </row>
  </sheetData>
  <mergeCells count="5">
    <mergeCell ref="B3:B10"/>
    <mergeCell ref="B11:B18"/>
    <mergeCell ref="B19:B29"/>
    <mergeCell ref="B30:B33"/>
    <mergeCell ref="B34:B42"/>
  </mergeCells>
  <conditionalFormatting sqref="G3:G33">
    <cfRule type="cellIs" dxfId="1" priority="1" operator="lessThan">
      <formula>-0.02</formula>
    </cfRule>
    <cfRule type="cellIs" dxfId="0" priority="2" operator="greaterThan">
      <formula>0.025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4DF2-7EE0-403D-A43F-FB6CB2372EDF}">
  <dimension ref="B2:W87"/>
  <sheetViews>
    <sheetView tabSelected="1" zoomScale="90" zoomScaleNormal="90" workbookViewId="0">
      <pane xSplit="2" ySplit="2" topLeftCell="C53" activePane="bottomRight" state="frozen"/>
      <selection pane="topRight" activeCell="D1" sqref="D1"/>
      <selection pane="bottomLeft" activeCell="A3" sqref="A3"/>
      <selection pane="bottomRight" activeCell="E63" sqref="E63"/>
    </sheetView>
  </sheetViews>
  <sheetFormatPr defaultColWidth="8.88671875" defaultRowHeight="12" customHeight="1" x14ac:dyDescent="0.2"/>
  <cols>
    <col min="1" max="1" width="1.6640625" style="3" customWidth="1"/>
    <col min="2" max="2" width="47.21875" style="3" bestFit="1" customWidth="1"/>
    <col min="3" max="3" width="72.33203125" style="144" bestFit="1" customWidth="1"/>
    <col min="4" max="4" width="21.88671875" style="4" bestFit="1" customWidth="1"/>
    <col min="5" max="5" width="22.33203125" style="4" customWidth="1"/>
    <col min="6" max="6" width="13.109375" style="4" bestFit="1" customWidth="1"/>
    <col min="7" max="7" width="13.77734375" style="4" bestFit="1" customWidth="1"/>
    <col min="8" max="8" width="14.6640625" style="4" bestFit="1" customWidth="1"/>
    <col min="9" max="9" width="43.88671875" style="4" bestFit="1" customWidth="1"/>
    <col min="10" max="10" width="14.6640625" style="4" bestFit="1" customWidth="1"/>
    <col min="11" max="11" width="15.33203125" style="4" bestFit="1" customWidth="1"/>
    <col min="12" max="12" width="16.33203125" style="4" bestFit="1" customWidth="1"/>
    <col min="13" max="13" width="16.77734375" style="4" bestFit="1" customWidth="1"/>
    <col min="14" max="14" width="16.88671875" style="4" bestFit="1" customWidth="1"/>
    <col min="15" max="15" width="18" style="4" bestFit="1" customWidth="1"/>
    <col min="16" max="16" width="19.109375" style="4" bestFit="1" customWidth="1"/>
    <col min="17" max="17" width="17.88671875" style="4" bestFit="1" customWidth="1"/>
    <col min="18" max="18" width="17.5546875" style="4" bestFit="1" customWidth="1"/>
    <col min="19" max="19" width="16.77734375" style="4" bestFit="1" customWidth="1"/>
    <col min="20" max="20" width="15.33203125" style="4" bestFit="1" customWidth="1"/>
    <col min="21" max="21" width="136" style="3" bestFit="1" customWidth="1"/>
    <col min="22" max="22" width="24.6640625" style="3" bestFit="1" customWidth="1"/>
    <col min="23" max="23" width="22" style="3" customWidth="1"/>
    <col min="24" max="16384" width="8.88671875" style="3"/>
  </cols>
  <sheetData>
    <row r="2" spans="2:22" s="2" customFormat="1" ht="22.8" x14ac:dyDescent="0.3">
      <c r="B2" s="5" t="s">
        <v>242</v>
      </c>
      <c r="C2" s="134" t="s">
        <v>241</v>
      </c>
      <c r="D2" s="1" t="s">
        <v>243</v>
      </c>
      <c r="E2" s="1" t="s">
        <v>114</v>
      </c>
      <c r="F2" s="1" t="s">
        <v>115</v>
      </c>
      <c r="G2" s="1" t="s">
        <v>116</v>
      </c>
      <c r="H2" s="1" t="s">
        <v>117</v>
      </c>
      <c r="I2" s="1" t="s">
        <v>118</v>
      </c>
      <c r="J2" s="1" t="s">
        <v>119</v>
      </c>
      <c r="K2" s="1" t="s">
        <v>120</v>
      </c>
      <c r="L2" s="1" t="s">
        <v>121</v>
      </c>
      <c r="M2" s="1" t="s">
        <v>122</v>
      </c>
      <c r="N2" s="1" t="s">
        <v>123</v>
      </c>
      <c r="O2" s="1" t="s">
        <v>124</v>
      </c>
      <c r="P2" s="1" t="s">
        <v>125</v>
      </c>
      <c r="Q2" s="1" t="s">
        <v>239</v>
      </c>
      <c r="R2" s="1" t="s">
        <v>238</v>
      </c>
      <c r="S2" s="1" t="s">
        <v>126</v>
      </c>
      <c r="T2" s="1" t="s">
        <v>240</v>
      </c>
      <c r="U2" s="5" t="s">
        <v>127</v>
      </c>
      <c r="V2" s="2" t="s">
        <v>128</v>
      </c>
    </row>
    <row r="3" spans="2:22" ht="11.4" x14ac:dyDescent="0.2">
      <c r="B3" s="6" t="s">
        <v>129</v>
      </c>
      <c r="C3" s="135" t="s">
        <v>28</v>
      </c>
      <c r="D3" s="7">
        <v>11279</v>
      </c>
      <c r="E3" s="7">
        <v>0.20449999999999999</v>
      </c>
      <c r="F3" s="7">
        <v>1</v>
      </c>
      <c r="G3" s="24" t="s">
        <v>130</v>
      </c>
      <c r="H3" s="7"/>
      <c r="I3" s="7" t="s">
        <v>131</v>
      </c>
      <c r="J3" s="7">
        <v>12.8</v>
      </c>
      <c r="K3" s="59">
        <v>56</v>
      </c>
      <c r="L3" s="7">
        <v>0.20449999999999999</v>
      </c>
      <c r="M3" s="60">
        <f>(J3-(M5*6))/K3</f>
        <v>0.20317460317460317</v>
      </c>
      <c r="N3" s="43">
        <f>IFERROR(M3-L3, "")</f>
        <v>-1.3253968253968129E-3</v>
      </c>
      <c r="O3" s="57"/>
      <c r="P3" s="39">
        <v>0.15429999999999999</v>
      </c>
      <c r="Q3" s="39">
        <f>Table1[[#This Row],[Current BOM Utilization (Kg)]]-P3</f>
        <v>5.0199999999999995E-2</v>
      </c>
      <c r="R3" s="39"/>
      <c r="S3" s="132">
        <f>IFERROR((Table1[[#This Row],[Calculated Utilization (Kg)]]-Table1[[#This Row],[Actual Part Wt (Kg)]])/Table1[[#This Row],[Calculated Utilization (Kg)]], "")</f>
        <v>0.24055468750000003</v>
      </c>
      <c r="T3" s="132"/>
      <c r="U3" s="6" t="s">
        <v>132</v>
      </c>
      <c r="V3" s="63" t="s">
        <v>133</v>
      </c>
    </row>
    <row r="4" spans="2:22" ht="11.4" x14ac:dyDescent="0.2">
      <c r="B4" s="6" t="s">
        <v>134</v>
      </c>
      <c r="C4" s="135" t="s">
        <v>28</v>
      </c>
      <c r="D4" s="7">
        <v>11279</v>
      </c>
      <c r="E4" s="7">
        <v>5.2699999999999997E-2</v>
      </c>
      <c r="F4" s="7">
        <v>1</v>
      </c>
      <c r="G4" s="7"/>
      <c r="H4" s="24" t="s">
        <v>130</v>
      </c>
      <c r="I4" s="7" t="s">
        <v>130</v>
      </c>
      <c r="J4" s="7">
        <v>12.8</v>
      </c>
      <c r="K4" s="7">
        <v>264</v>
      </c>
      <c r="L4" s="7">
        <v>5.2699999999999997E-2</v>
      </c>
      <c r="M4" s="26">
        <f>J4/K4</f>
        <v>4.8484848484848485E-2</v>
      </c>
      <c r="N4" s="56">
        <f t="shared" ref="N4:N64" si="0">IFERROR(M4-L4, "")</f>
        <v>-4.215151515151512E-3</v>
      </c>
      <c r="O4" s="57"/>
      <c r="P4" s="39">
        <v>3.1899999999999998E-2</v>
      </c>
      <c r="Q4" s="39">
        <f>Table1[[#This Row],[Current BOM Utilization (Kg)]]-P4</f>
        <v>2.0799999999999999E-2</v>
      </c>
      <c r="R4" s="39"/>
      <c r="S4" s="132">
        <f>IFERROR((Table1[[#This Row],[Calculated Utilization (Kg)]]-Table1[[#This Row],[Actual Part Wt (Kg)]])/Table1[[#This Row],[Calculated Utilization (Kg)]], "")</f>
        <v>0.34206250000000005</v>
      </c>
      <c r="T4" s="132"/>
      <c r="U4" s="6"/>
    </row>
    <row r="5" spans="2:22" ht="11.4" x14ac:dyDescent="0.2">
      <c r="B5" s="6" t="s">
        <v>135</v>
      </c>
      <c r="C5" s="135" t="s">
        <v>28</v>
      </c>
      <c r="D5" s="7">
        <v>11279</v>
      </c>
      <c r="E5" s="7">
        <v>0.22500000000000001</v>
      </c>
      <c r="F5" s="7">
        <v>1</v>
      </c>
      <c r="G5" s="24" t="s">
        <v>130</v>
      </c>
      <c r="H5" s="7"/>
      <c r="I5" s="7" t="s">
        <v>131</v>
      </c>
      <c r="J5" s="7">
        <v>12.8</v>
      </c>
      <c r="K5" s="59">
        <v>54</v>
      </c>
      <c r="L5" s="7">
        <v>0.22500000000000001</v>
      </c>
      <c r="M5" s="61">
        <f>J5/K5</f>
        <v>0.23703703703703705</v>
      </c>
      <c r="N5" s="39">
        <f t="shared" si="0"/>
        <v>1.2037037037037041E-2</v>
      </c>
      <c r="O5" s="57"/>
      <c r="P5" s="39">
        <v>0.14799999999999999</v>
      </c>
      <c r="Q5" s="39">
        <f>Table1[[#This Row],[Current BOM Utilization (Kg)]]-P5</f>
        <v>7.7000000000000013E-2</v>
      </c>
      <c r="R5" s="39"/>
      <c r="S5" s="132">
        <f>IFERROR((Table1[[#This Row],[Calculated Utilization (Kg)]]-Table1[[#This Row],[Actual Part Wt (Kg)]])/Table1[[#This Row],[Calculated Utilization (Kg)]], "")</f>
        <v>0.37562500000000004</v>
      </c>
      <c r="T5" s="132"/>
      <c r="U5" s="6"/>
      <c r="V5" s="63" t="s">
        <v>133</v>
      </c>
    </row>
    <row r="6" spans="2:22" ht="11.4" x14ac:dyDescent="0.2">
      <c r="B6" s="6" t="s">
        <v>136</v>
      </c>
      <c r="C6" s="135" t="s">
        <v>30</v>
      </c>
      <c r="D6" s="7" t="s">
        <v>29</v>
      </c>
      <c r="E6" s="7">
        <v>0.20100000000000001</v>
      </c>
      <c r="F6" s="7">
        <v>1</v>
      </c>
      <c r="G6" s="7"/>
      <c r="H6" s="24" t="s">
        <v>130</v>
      </c>
      <c r="I6" s="7" t="s">
        <v>130</v>
      </c>
      <c r="J6" s="7">
        <v>17</v>
      </c>
      <c r="K6" s="7">
        <v>80</v>
      </c>
      <c r="L6" s="7">
        <v>0.20100000000000001</v>
      </c>
      <c r="M6" s="7">
        <f>J6/K6</f>
        <v>0.21249999999999999</v>
      </c>
      <c r="N6" s="56">
        <f t="shared" si="0"/>
        <v>1.1499999999999982E-2</v>
      </c>
      <c r="O6" s="57"/>
      <c r="P6" s="39">
        <v>0.17949999999999999</v>
      </c>
      <c r="Q6" s="39">
        <f>Table1[[#This Row],[Current BOM Utilization (Kg)]]-P6</f>
        <v>2.1500000000000019E-2</v>
      </c>
      <c r="R6" s="39"/>
      <c r="S6" s="132">
        <f>IFERROR((Table1[[#This Row],[Calculated Utilization (Kg)]]-Table1[[#This Row],[Actual Part Wt (Kg)]])/Table1[[#This Row],[Calculated Utilization (Kg)]], "")</f>
        <v>0.15529411764705883</v>
      </c>
      <c r="T6" s="132"/>
      <c r="U6" s="6"/>
    </row>
    <row r="7" spans="2:22" ht="11.4" x14ac:dyDescent="0.2">
      <c r="B7" s="6" t="s">
        <v>137</v>
      </c>
      <c r="C7" s="135" t="s">
        <v>31</v>
      </c>
      <c r="D7" s="7">
        <v>10154</v>
      </c>
      <c r="E7" s="7">
        <v>5.3999999999999999E-2</v>
      </c>
      <c r="F7" s="7">
        <v>1</v>
      </c>
      <c r="G7" s="24" t="s">
        <v>138</v>
      </c>
      <c r="H7" s="7"/>
      <c r="I7" s="7"/>
      <c r="J7" s="7">
        <v>13.5</v>
      </c>
      <c r="K7" s="59">
        <v>224</v>
      </c>
      <c r="L7" s="7">
        <v>5.3999999999999999E-2</v>
      </c>
      <c r="M7" s="60">
        <f>J7/K7</f>
        <v>6.0267857142857144E-2</v>
      </c>
      <c r="N7" s="56">
        <f t="shared" si="0"/>
        <v>6.2678571428571445E-3</v>
      </c>
      <c r="O7" s="57">
        <v>13.5</v>
      </c>
      <c r="P7" s="39">
        <v>4.6800000000000001E-2</v>
      </c>
      <c r="Q7" s="39">
        <f>Table1[[#This Row],[Current BOM Utilization (Kg)]]-P7</f>
        <v>7.1999999999999981E-3</v>
      </c>
      <c r="R7" s="39"/>
      <c r="S7" s="132">
        <f>IFERROR((Table1[[#This Row],[Calculated Utilization (Kg)]]-Table1[[#This Row],[Actual Part Wt (Kg)]])/Table1[[#This Row],[Calculated Utilization (Kg)]], "")</f>
        <v>0.22346666666666665</v>
      </c>
      <c r="T7" s="132"/>
      <c r="U7" s="6" t="s">
        <v>139</v>
      </c>
      <c r="V7" s="63" t="s">
        <v>133</v>
      </c>
    </row>
    <row r="8" spans="2:22" ht="11.4" x14ac:dyDescent="0.2">
      <c r="B8" s="6" t="s">
        <v>140</v>
      </c>
      <c r="C8" s="135" t="s">
        <v>32</v>
      </c>
      <c r="D8" s="7">
        <v>10155</v>
      </c>
      <c r="E8" s="7">
        <v>1.17E-2</v>
      </c>
      <c r="F8" s="7">
        <v>1</v>
      </c>
      <c r="G8" s="24" t="s">
        <v>130</v>
      </c>
      <c r="H8" s="7"/>
      <c r="I8" s="7" t="s">
        <v>130</v>
      </c>
      <c r="J8" s="7">
        <v>18.100000000000001</v>
      </c>
      <c r="K8" s="7">
        <v>1701</v>
      </c>
      <c r="L8" s="7">
        <v>1.17E-2</v>
      </c>
      <c r="M8" s="26">
        <f>J8/K8</f>
        <v>1.0640799529688419E-2</v>
      </c>
      <c r="N8" s="56">
        <f t="shared" si="0"/>
        <v>-1.0592004703115811E-3</v>
      </c>
      <c r="O8" s="57"/>
      <c r="P8" s="64">
        <v>1.4999999999999999E-2</v>
      </c>
      <c r="Q8" s="64">
        <f>Table1[[#This Row],[Current BOM Utilization (Kg)]]-P8</f>
        <v>-3.2999999999999991E-3</v>
      </c>
      <c r="R8" s="39"/>
      <c r="S8" s="132">
        <f>IFERROR((Table1[[#This Row],[Calculated Utilization (Kg)]]-Table1[[#This Row],[Actual Part Wt (Kg)]])/Table1[[#This Row],[Calculated Utilization (Kg)]], "")</f>
        <v>-0.40966850828729268</v>
      </c>
      <c r="T8" s="132"/>
      <c r="U8" s="6" t="s">
        <v>141</v>
      </c>
    </row>
    <row r="9" spans="2:22" ht="11.4" x14ac:dyDescent="0.2">
      <c r="B9" s="6" t="s">
        <v>142</v>
      </c>
      <c r="C9" s="135" t="s">
        <v>111</v>
      </c>
      <c r="D9" s="7">
        <v>10155</v>
      </c>
      <c r="E9" s="7">
        <v>0.38719999999999999</v>
      </c>
      <c r="F9" s="7">
        <v>1</v>
      </c>
      <c r="G9" s="7"/>
      <c r="H9" s="24" t="s">
        <v>130</v>
      </c>
      <c r="I9" s="7" t="s">
        <v>130</v>
      </c>
      <c r="J9" s="7">
        <v>18.100000000000001</v>
      </c>
      <c r="K9" s="7">
        <v>27</v>
      </c>
      <c r="L9" s="7">
        <v>0.38719999999999999</v>
      </c>
      <c r="M9" s="53">
        <f>(J9-((M10*135)+(M12*27)))/K9</f>
        <v>0.38507965667513749</v>
      </c>
      <c r="N9" s="56">
        <f t="shared" si="0"/>
        <v>-2.1203433248624948E-3</v>
      </c>
      <c r="O9" s="57"/>
      <c r="P9" s="39">
        <v>0.29049999999999998</v>
      </c>
      <c r="Q9" s="39">
        <f>Table1[[#This Row],[Current BOM Utilization (Kg)]]-P9</f>
        <v>9.6700000000000008E-2</v>
      </c>
      <c r="R9" s="39"/>
      <c r="S9" s="132">
        <f>IFERROR((Table1[[#This Row],[Calculated Utilization (Kg)]]-Table1[[#This Row],[Actual Part Wt (Kg)]])/Table1[[#This Row],[Calculated Utilization (Kg)]], "")</f>
        <v>0.24561062895858765</v>
      </c>
      <c r="T9" s="132"/>
      <c r="U9" s="52" t="s">
        <v>143</v>
      </c>
      <c r="V9" s="41" t="s">
        <v>144</v>
      </c>
    </row>
    <row r="10" spans="2:22" ht="11.4" x14ac:dyDescent="0.2">
      <c r="B10" s="6" t="s">
        <v>145</v>
      </c>
      <c r="C10" s="135" t="s">
        <v>111</v>
      </c>
      <c r="D10" s="7">
        <v>10155</v>
      </c>
      <c r="E10" s="7">
        <v>1.736E-2</v>
      </c>
      <c r="F10" s="7">
        <v>5</v>
      </c>
      <c r="G10" s="7"/>
      <c r="H10" s="24" t="s">
        <v>130</v>
      </c>
      <c r="I10" s="7" t="s">
        <v>130</v>
      </c>
      <c r="J10" s="7">
        <v>18.100000000000001</v>
      </c>
      <c r="K10" s="54">
        <v>955</v>
      </c>
      <c r="L10" s="7">
        <v>1.736E-2</v>
      </c>
      <c r="M10" s="53">
        <f>J10/K10</f>
        <v>1.8952879581151834E-2</v>
      </c>
      <c r="N10" s="56">
        <f t="shared" si="0"/>
        <v>1.5928795811518334E-3</v>
      </c>
      <c r="O10" s="57"/>
      <c r="P10" s="39">
        <v>1.4999999999999999E-2</v>
      </c>
      <c r="Q10" s="39">
        <f>Table1[[#This Row],[Current BOM Utilization (Kg)]]-P10</f>
        <v>2.360000000000001E-3</v>
      </c>
      <c r="R10" s="39"/>
      <c r="S10" s="132">
        <f>IFERROR((Table1[[#This Row],[Calculated Utilization (Kg)]]-Table1[[#This Row],[Actual Part Wt (Kg)]])/Table1[[#This Row],[Calculated Utilization (Kg)]], "")</f>
        <v>0.20856353591160229</v>
      </c>
      <c r="T10" s="132"/>
      <c r="U10" s="52" t="s">
        <v>146</v>
      </c>
      <c r="V10" s="41" t="s">
        <v>144</v>
      </c>
    </row>
    <row r="11" spans="2:22" ht="11.4" x14ac:dyDescent="0.2">
      <c r="B11" s="6" t="s">
        <v>147</v>
      </c>
      <c r="C11" s="135" t="s">
        <v>33</v>
      </c>
      <c r="D11" s="7">
        <v>11332</v>
      </c>
      <c r="E11" s="7">
        <v>0.51670000000000005</v>
      </c>
      <c r="F11" s="7">
        <v>1</v>
      </c>
      <c r="G11" s="24" t="s">
        <v>138</v>
      </c>
      <c r="H11" s="24" t="s">
        <v>138</v>
      </c>
      <c r="I11" s="7"/>
      <c r="J11" s="7">
        <v>31.7</v>
      </c>
      <c r="K11" s="48">
        <f>6*10</f>
        <v>60</v>
      </c>
      <c r="L11" s="7">
        <v>0.51670000000000005</v>
      </c>
      <c r="M11" s="55">
        <f>J11/K11</f>
        <v>0.52833333333333332</v>
      </c>
      <c r="N11" s="39">
        <f t="shared" si="0"/>
        <v>1.1633333333333273E-2</v>
      </c>
      <c r="O11" s="57">
        <v>31</v>
      </c>
      <c r="P11" s="39">
        <f>P28</f>
        <v>0.47199999999999998</v>
      </c>
      <c r="Q11" s="39">
        <f>Table1[[#This Row],[Current BOM Utilization (Kg)]]-P11</f>
        <v>4.4700000000000073E-2</v>
      </c>
      <c r="R11" s="39"/>
      <c r="S11" s="132">
        <f>IFERROR((Table1[[#This Row],[Calculated Utilization (Kg)]]-Table1[[#This Row],[Actual Part Wt (Kg)]])/Table1[[#This Row],[Calculated Utilization (Kg)]], "")</f>
        <v>0.10662460567823347</v>
      </c>
      <c r="T11" s="132"/>
      <c r="U11" s="6" t="s">
        <v>148</v>
      </c>
    </row>
    <row r="12" spans="2:22" ht="11.4" x14ac:dyDescent="0.2">
      <c r="B12" s="6" t="s">
        <v>149</v>
      </c>
      <c r="C12" s="135" t="s">
        <v>111</v>
      </c>
      <c r="D12" s="7">
        <v>10155</v>
      </c>
      <c r="E12" s="7">
        <v>0.14729999999999999</v>
      </c>
      <c r="F12" s="7">
        <v>1</v>
      </c>
      <c r="G12" s="7"/>
      <c r="H12" s="24" t="s">
        <v>130</v>
      </c>
      <c r="I12" s="7" t="s">
        <v>130</v>
      </c>
      <c r="J12" s="7">
        <v>18.100000000000001</v>
      </c>
      <c r="K12" s="48">
        <v>95</v>
      </c>
      <c r="L12" s="7">
        <v>0.14729999999999999</v>
      </c>
      <c r="M12" s="43">
        <f>J12/K12</f>
        <v>0.19052631578947371</v>
      </c>
      <c r="N12" s="65">
        <f t="shared" si="0"/>
        <v>4.3226315789473724E-2</v>
      </c>
      <c r="O12" s="57"/>
      <c r="P12" s="39">
        <f>P29</f>
        <v>0.126</v>
      </c>
      <c r="Q12" s="39">
        <f>Table1[[#This Row],[Current BOM Utilization (Kg)]]-P12</f>
        <v>2.1299999999999986E-2</v>
      </c>
      <c r="R12" s="39"/>
      <c r="S12" s="132">
        <f>IFERROR((Table1[[#This Row],[Calculated Utilization (Kg)]]-Table1[[#This Row],[Actual Part Wt (Kg)]])/Table1[[#This Row],[Calculated Utilization (Kg)]], "")</f>
        <v>0.33867403314917138</v>
      </c>
      <c r="T12" s="132"/>
      <c r="U12" s="41" t="s">
        <v>150</v>
      </c>
      <c r="V12" s="42"/>
    </row>
    <row r="13" spans="2:22" ht="11.4" x14ac:dyDescent="0.2">
      <c r="B13" s="6" t="s">
        <v>151</v>
      </c>
      <c r="C13" s="135" t="s">
        <v>111</v>
      </c>
      <c r="D13" s="7">
        <v>10155</v>
      </c>
      <c r="E13" s="7">
        <v>1.09E-2</v>
      </c>
      <c r="F13" s="7">
        <v>2</v>
      </c>
      <c r="G13" s="7"/>
      <c r="H13" s="38" t="s">
        <v>130</v>
      </c>
      <c r="I13" s="7"/>
      <c r="J13" s="7">
        <v>18.100000000000001</v>
      </c>
      <c r="K13" s="48">
        <v>1540</v>
      </c>
      <c r="L13" s="7">
        <v>1.09E-2</v>
      </c>
      <c r="M13" s="47">
        <f>J13/K13</f>
        <v>1.1753246753246753E-2</v>
      </c>
      <c r="N13" s="56">
        <f t="shared" si="0"/>
        <v>8.5324675324675338E-4</v>
      </c>
      <c r="O13" s="57"/>
      <c r="P13" s="39">
        <f>P30</f>
        <v>8.0000000000000002E-3</v>
      </c>
      <c r="Q13" s="39">
        <f>Table1[[#This Row],[Current BOM Utilization (Kg)]]-P13</f>
        <v>2.8999999999999998E-3</v>
      </c>
      <c r="R13" s="39"/>
      <c r="S13" s="132">
        <f>IFERROR((Table1[[#This Row],[Calculated Utilization (Kg)]]-Table1[[#This Row],[Actual Part Wt (Kg)]])/Table1[[#This Row],[Calculated Utilization (Kg)]], "")</f>
        <v>0.31933701657458563</v>
      </c>
      <c r="T13" s="132"/>
      <c r="U13" s="41" t="s">
        <v>152</v>
      </c>
      <c r="V13" s="42"/>
    </row>
    <row r="14" spans="2:22" ht="11.4" x14ac:dyDescent="0.2">
      <c r="B14" s="6" t="s">
        <v>153</v>
      </c>
      <c r="C14" s="135" t="s">
        <v>111</v>
      </c>
      <c r="D14" s="7">
        <v>10155</v>
      </c>
      <c r="E14" s="7">
        <v>1.341E-2</v>
      </c>
      <c r="F14" s="7">
        <v>1</v>
      </c>
      <c r="G14" s="7"/>
      <c r="H14" s="38" t="s">
        <v>130</v>
      </c>
      <c r="I14" s="7"/>
      <c r="J14" s="7">
        <v>18.100000000000001</v>
      </c>
      <c r="K14" s="48">
        <v>1540</v>
      </c>
      <c r="L14" s="7">
        <v>1.341E-2</v>
      </c>
      <c r="M14" s="47">
        <f>J14/K14</f>
        <v>1.1753246753246753E-2</v>
      </c>
      <c r="N14" s="56">
        <f t="shared" si="0"/>
        <v>-1.6567532467532467E-3</v>
      </c>
      <c r="O14" s="57"/>
      <c r="P14" s="39">
        <f>P31</f>
        <v>7.0000000000000001E-3</v>
      </c>
      <c r="Q14" s="39">
        <f>Table1[[#This Row],[Current BOM Utilization (Kg)]]-P14</f>
        <v>6.4099999999999999E-3</v>
      </c>
      <c r="R14" s="39"/>
      <c r="S14" s="132">
        <f>IFERROR((Table1[[#This Row],[Calculated Utilization (Kg)]]-Table1[[#This Row],[Actual Part Wt (Kg)]])/Table1[[#This Row],[Calculated Utilization (Kg)]], "")</f>
        <v>0.40441988950276242</v>
      </c>
      <c r="T14" s="132"/>
      <c r="U14" s="41" t="s">
        <v>152</v>
      </c>
      <c r="V14" s="42"/>
    </row>
    <row r="15" spans="2:22" ht="11.4" x14ac:dyDescent="0.2">
      <c r="B15" s="6" t="s">
        <v>154</v>
      </c>
      <c r="C15" s="135" t="s">
        <v>28</v>
      </c>
      <c r="D15" s="7">
        <v>11279</v>
      </c>
      <c r="E15" s="7">
        <v>0.48209999999999997</v>
      </c>
      <c r="F15" s="7">
        <v>1</v>
      </c>
      <c r="G15" s="24" t="s">
        <v>130</v>
      </c>
      <c r="H15" s="7"/>
      <c r="I15" s="7" t="s">
        <v>138</v>
      </c>
      <c r="J15" s="7">
        <v>12.8</v>
      </c>
      <c r="K15" s="59">
        <v>21</v>
      </c>
      <c r="L15" s="7">
        <v>0.48209999999999997</v>
      </c>
      <c r="M15" s="62">
        <f>(J15-((M16*26)+(M5*12)))/K15</f>
        <v>0.44623330813807011</v>
      </c>
      <c r="N15" s="56">
        <f t="shared" si="0"/>
        <v>-3.5866691861929867E-2</v>
      </c>
      <c r="O15" s="57"/>
      <c r="P15" s="39">
        <v>0.30599999999999999</v>
      </c>
      <c r="Q15" s="39">
        <f>Table1[[#This Row],[Current BOM Utilization (Kg)]]-P15</f>
        <v>0.17609999999999998</v>
      </c>
      <c r="R15" s="39"/>
      <c r="S15" s="132">
        <f>IFERROR((Table1[[#This Row],[Calculated Utilization (Kg)]]-Table1[[#This Row],[Actual Part Wt (Kg)]])/Table1[[#This Row],[Calculated Utilization (Kg)]], "")</f>
        <v>0.31426006436677784</v>
      </c>
      <c r="T15" s="132"/>
      <c r="U15" s="6" t="s">
        <v>155</v>
      </c>
    </row>
    <row r="16" spans="2:22" ht="11.4" x14ac:dyDescent="0.2">
      <c r="B16" s="6" t="s">
        <v>156</v>
      </c>
      <c r="C16" s="135" t="s">
        <v>30</v>
      </c>
      <c r="D16" s="7" t="s">
        <v>29</v>
      </c>
      <c r="E16" s="7">
        <v>2.12E-2</v>
      </c>
      <c r="F16" s="7">
        <v>3</v>
      </c>
      <c r="G16" s="24" t="s">
        <v>138</v>
      </c>
      <c r="H16" s="7"/>
      <c r="I16" s="7"/>
      <c r="J16" s="7">
        <v>17</v>
      </c>
      <c r="K16" s="59">
        <v>756</v>
      </c>
      <c r="L16" s="7">
        <v>2.12E-2</v>
      </c>
      <c r="M16" s="62">
        <f>J16/K16</f>
        <v>2.2486772486772486E-2</v>
      </c>
      <c r="N16" s="56">
        <f t="shared" si="0"/>
        <v>1.2867724867724854E-3</v>
      </c>
      <c r="O16" s="56">
        <v>16.05</v>
      </c>
      <c r="P16" s="39">
        <v>1.652E-2</v>
      </c>
      <c r="Q16" s="39">
        <f>Table1[[#This Row],[Current BOM Utilization (Kg)]]-P16</f>
        <v>4.6800000000000001E-3</v>
      </c>
      <c r="R16" s="39"/>
      <c r="S16" s="132">
        <f>IFERROR((Table1[[#This Row],[Calculated Utilization (Kg)]]-Table1[[#This Row],[Actual Part Wt (Kg)]])/Table1[[#This Row],[Calculated Utilization (Kg)]], "")</f>
        <v>0.26534588235294115</v>
      </c>
      <c r="T16" s="132"/>
      <c r="U16" s="6" t="s">
        <v>157</v>
      </c>
      <c r="V16" s="63" t="s">
        <v>133</v>
      </c>
    </row>
    <row r="17" spans="2:22" ht="11.4" x14ac:dyDescent="0.2">
      <c r="B17" s="8" t="s">
        <v>158</v>
      </c>
      <c r="C17" s="135" t="s">
        <v>37</v>
      </c>
      <c r="D17" s="7">
        <v>10073</v>
      </c>
      <c r="E17" s="7">
        <v>5.5E-2</v>
      </c>
      <c r="F17" s="7">
        <v>2</v>
      </c>
      <c r="G17" s="7" t="s">
        <v>159</v>
      </c>
      <c r="H17" s="7"/>
      <c r="I17" s="7"/>
      <c r="J17" s="28" t="s">
        <v>160</v>
      </c>
      <c r="K17" s="7">
        <v>12</v>
      </c>
      <c r="L17" s="7">
        <v>5.5E-2</v>
      </c>
      <c r="M17" s="28" t="s">
        <v>160</v>
      </c>
      <c r="N17" s="56" t="str">
        <f t="shared" si="0"/>
        <v/>
      </c>
      <c r="O17" s="57"/>
      <c r="P17" s="154"/>
      <c r="Q17" s="154">
        <f>Table1[[#This Row],[Current BOM Utilization (Kg)]]-P17</f>
        <v>5.5E-2</v>
      </c>
      <c r="R17" s="39"/>
      <c r="S17" s="132" t="str">
        <f>IFERROR((Table1[[#This Row],[Calculated Utilization (Kg)]]-Table1[[#This Row],[Actual Part Wt (Kg)]])/Table1[[#This Row],[Calculated Utilization (Kg)]], "")</f>
        <v/>
      </c>
      <c r="T17" s="132"/>
      <c r="U17" s="6"/>
      <c r="V17" s="63" t="s">
        <v>133</v>
      </c>
    </row>
    <row r="18" spans="2:22" ht="11.4" x14ac:dyDescent="0.2">
      <c r="B18" s="6" t="s">
        <v>161</v>
      </c>
      <c r="C18" s="135" t="s">
        <v>35</v>
      </c>
      <c r="D18" s="7" t="s">
        <v>34</v>
      </c>
      <c r="E18" s="7">
        <v>1.08</v>
      </c>
      <c r="F18" s="7">
        <v>1</v>
      </c>
      <c r="G18" s="24" t="s">
        <v>130</v>
      </c>
      <c r="H18" s="7"/>
      <c r="I18" s="7" t="s">
        <v>130</v>
      </c>
      <c r="J18" s="7">
        <v>15.6</v>
      </c>
      <c r="K18" s="7">
        <v>14</v>
      </c>
      <c r="L18" s="7">
        <v>1.08</v>
      </c>
      <c r="M18" s="27">
        <f t="shared" ref="M18:M26" si="1">J18/K18</f>
        <v>1.1142857142857143</v>
      </c>
      <c r="N18" s="65">
        <f t="shared" si="0"/>
        <v>3.4285714285714253E-2</v>
      </c>
      <c r="O18" s="57"/>
      <c r="P18" s="39">
        <v>0.88900000000000001</v>
      </c>
      <c r="Q18" s="39">
        <f>Table1[[#This Row],[Current BOM Utilization (Kg)]]-P18</f>
        <v>0.19100000000000006</v>
      </c>
      <c r="R18" s="39"/>
      <c r="S18" s="132">
        <f>IFERROR((Table1[[#This Row],[Calculated Utilization (Kg)]]-Table1[[#This Row],[Actual Part Wt (Kg)]])/Table1[[#This Row],[Calculated Utilization (Kg)]], "")</f>
        <v>0.20217948717948719</v>
      </c>
      <c r="T18" s="132"/>
      <c r="U18" s="6"/>
    </row>
    <row r="19" spans="2:22" s="10" customFormat="1" ht="11.4" x14ac:dyDescent="0.2">
      <c r="B19" s="29" t="s">
        <v>162</v>
      </c>
      <c r="C19" s="136" t="s">
        <v>36</v>
      </c>
      <c r="D19" s="9">
        <v>11090</v>
      </c>
      <c r="E19" s="9">
        <v>3.56E-2</v>
      </c>
      <c r="F19" s="9">
        <v>1</v>
      </c>
      <c r="G19" s="9"/>
      <c r="H19" s="25" t="s">
        <v>130</v>
      </c>
      <c r="I19" s="9" t="s">
        <v>130</v>
      </c>
      <c r="J19" s="9">
        <v>12.7</v>
      </c>
      <c r="K19" s="9">
        <v>343</v>
      </c>
      <c r="L19" s="9">
        <v>3.56E-2</v>
      </c>
      <c r="M19" s="30">
        <f t="shared" si="1"/>
        <v>3.7026239067055391E-2</v>
      </c>
      <c r="N19" s="56">
        <f t="shared" si="0"/>
        <v>1.4262390670553918E-3</v>
      </c>
      <c r="O19" s="57"/>
      <c r="P19" s="39">
        <v>3.2199999999999999E-2</v>
      </c>
      <c r="Q19" s="39">
        <f>Table1[[#This Row],[Current BOM Utilization (Kg)]]-P19</f>
        <v>3.4000000000000002E-3</v>
      </c>
      <c r="R19" s="39"/>
      <c r="S19" s="132">
        <f>IFERROR((Table1[[#This Row],[Calculated Utilization (Kg)]]-Table1[[#This Row],[Actual Part Wt (Kg)]])/Table1[[#This Row],[Calculated Utilization (Kg)]], "")</f>
        <v>0.13034645669291334</v>
      </c>
      <c r="T19" s="132"/>
      <c r="U19" s="31"/>
    </row>
    <row r="20" spans="2:22" ht="11.4" x14ac:dyDescent="0.2">
      <c r="B20" s="6" t="s">
        <v>163</v>
      </c>
      <c r="C20" s="136" t="s">
        <v>36</v>
      </c>
      <c r="D20" s="7">
        <v>11090</v>
      </c>
      <c r="E20" s="7">
        <v>1.154E-2</v>
      </c>
      <c r="F20" s="7">
        <v>1</v>
      </c>
      <c r="G20" s="24" t="s">
        <v>130</v>
      </c>
      <c r="H20" s="24" t="s">
        <v>130</v>
      </c>
      <c r="I20" s="7" t="s">
        <v>138</v>
      </c>
      <c r="J20" s="7">
        <v>12.7</v>
      </c>
      <c r="K20" s="28">
        <v>1131</v>
      </c>
      <c r="L20" s="7">
        <v>1.154E-2</v>
      </c>
      <c r="M20" s="45">
        <f t="shared" si="1"/>
        <v>1.1229000884173296E-2</v>
      </c>
      <c r="N20" s="56">
        <f t="shared" si="0"/>
        <v>-3.1099911582670343E-4</v>
      </c>
      <c r="O20" s="57"/>
      <c r="P20" s="39">
        <f>P37</f>
        <v>9.5999999999999992E-3</v>
      </c>
      <c r="Q20" s="39">
        <f>Table1[[#This Row],[Current BOM Utilization (Kg)]]-P20</f>
        <v>1.9400000000000008E-3</v>
      </c>
      <c r="R20" s="202">
        <f>SUM(Q3:Q20)</f>
        <v>0.77989000000000019</v>
      </c>
      <c r="S20" s="132">
        <f>IFERROR((Table1[[#This Row],[Calculated Utilization (Kg)]]-Table1[[#This Row],[Actual Part Wt (Kg)]])/Table1[[#This Row],[Calculated Utilization (Kg)]], "")</f>
        <v>0.14507086614173226</v>
      </c>
      <c r="T20" s="197">
        <f>AVERAGE(S3:S19)</f>
        <v>0.21641850399334345</v>
      </c>
      <c r="U20" s="6" t="s">
        <v>164</v>
      </c>
    </row>
    <row r="21" spans="2:22" ht="11.4" x14ac:dyDescent="0.2">
      <c r="B21" s="11" t="s">
        <v>165</v>
      </c>
      <c r="C21" s="137" t="s">
        <v>28</v>
      </c>
      <c r="D21" s="12">
        <v>11279</v>
      </c>
      <c r="E21" s="12">
        <v>0.1116</v>
      </c>
      <c r="F21" s="12">
        <v>1</v>
      </c>
      <c r="G21" s="12"/>
      <c r="H21" s="24" t="s">
        <v>130</v>
      </c>
      <c r="I21" s="12" t="s">
        <v>130</v>
      </c>
      <c r="J21" s="12">
        <v>12.8</v>
      </c>
      <c r="K21" s="12">
        <v>120</v>
      </c>
      <c r="L21" s="12">
        <v>0.1116</v>
      </c>
      <c r="M21" s="32">
        <f t="shared" si="1"/>
        <v>0.10666666666666667</v>
      </c>
      <c r="N21" s="56">
        <f t="shared" si="0"/>
        <v>-4.9333333333333312E-3</v>
      </c>
      <c r="O21" s="57">
        <v>13.5</v>
      </c>
      <c r="P21" s="39">
        <v>9.2999999999999999E-2</v>
      </c>
      <c r="Q21" s="39">
        <f>Table1[[#This Row],[Current BOM Utilization (Kg)]]-P21</f>
        <v>1.8600000000000005E-2</v>
      </c>
      <c r="R21" s="39"/>
      <c r="S21" s="132">
        <f>IFERROR((Table1[[#This Row],[Calculated Utilization (Kg)]]-Table1[[#This Row],[Actual Part Wt (Kg)]])/Table1[[#This Row],[Calculated Utilization (Kg)]], "")</f>
        <v>0.12812500000000007</v>
      </c>
      <c r="T21" s="132"/>
      <c r="U21" s="11"/>
    </row>
    <row r="22" spans="2:22" ht="11.4" x14ac:dyDescent="0.2">
      <c r="B22" s="11" t="s">
        <v>166</v>
      </c>
      <c r="C22" s="137" t="s">
        <v>38</v>
      </c>
      <c r="D22" s="12">
        <v>10970</v>
      </c>
      <c r="E22" s="12">
        <v>0.02</v>
      </c>
      <c r="F22" s="12">
        <v>1</v>
      </c>
      <c r="G22" s="12"/>
      <c r="H22" s="24" t="s">
        <v>130</v>
      </c>
      <c r="I22" s="12" t="s">
        <v>130</v>
      </c>
      <c r="J22" s="12">
        <v>13.6</v>
      </c>
      <c r="K22" s="38">
        <v>731</v>
      </c>
      <c r="L22" s="12">
        <v>0.02</v>
      </c>
      <c r="M22" s="40">
        <f t="shared" si="1"/>
        <v>1.8604651162790697E-2</v>
      </c>
      <c r="N22" s="56">
        <f t="shared" si="0"/>
        <v>-1.395348837209303E-3</v>
      </c>
      <c r="O22" s="56">
        <v>13.84</v>
      </c>
      <c r="P22" s="39">
        <v>1.6E-2</v>
      </c>
      <c r="Q22" s="39">
        <f>Table1[[#This Row],[Current BOM Utilization (Kg)]]-P22</f>
        <v>4.0000000000000001E-3</v>
      </c>
      <c r="R22" s="39"/>
      <c r="S22" s="132">
        <f>IFERROR((Table1[[#This Row],[Calculated Utilization (Kg)]]-Table1[[#This Row],[Actual Part Wt (Kg)]])/Table1[[#This Row],[Calculated Utilization (Kg)]], "")</f>
        <v>0.13999999999999996</v>
      </c>
      <c r="T22" s="132"/>
      <c r="U22" s="11"/>
    </row>
    <row r="23" spans="2:22" ht="11.4" x14ac:dyDescent="0.2">
      <c r="B23" s="11" t="s">
        <v>167</v>
      </c>
      <c r="C23" s="137" t="s">
        <v>28</v>
      </c>
      <c r="D23" s="12">
        <v>11279</v>
      </c>
      <c r="E23" s="12">
        <v>0.1298</v>
      </c>
      <c r="F23" s="12">
        <v>1</v>
      </c>
      <c r="G23" s="24" t="s">
        <v>130</v>
      </c>
      <c r="H23" s="12"/>
      <c r="I23" s="12" t="s">
        <v>130</v>
      </c>
      <c r="J23" s="12">
        <v>12.8</v>
      </c>
      <c r="K23" s="12">
        <v>99</v>
      </c>
      <c r="L23" s="12">
        <v>0.1298</v>
      </c>
      <c r="M23" s="32">
        <f t="shared" si="1"/>
        <v>0.12929292929292929</v>
      </c>
      <c r="N23" s="56">
        <f t="shared" si="0"/>
        <v>-5.0707070707070589E-4</v>
      </c>
      <c r="O23" s="57">
        <v>13.5</v>
      </c>
      <c r="P23" s="39">
        <v>9.0999999999999998E-2</v>
      </c>
      <c r="Q23" s="39">
        <f>Table1[[#This Row],[Current BOM Utilization (Kg)]]-P23</f>
        <v>3.8800000000000001E-2</v>
      </c>
      <c r="R23" s="39"/>
      <c r="S23" s="132">
        <f>IFERROR((Table1[[#This Row],[Calculated Utilization (Kg)]]-Table1[[#This Row],[Actual Part Wt (Kg)]])/Table1[[#This Row],[Calculated Utilization (Kg)]], "")</f>
        <v>0.29617187500000003</v>
      </c>
      <c r="T23" s="132"/>
      <c r="U23" s="11" t="s">
        <v>168</v>
      </c>
    </row>
    <row r="24" spans="2:22" ht="11.4" x14ac:dyDescent="0.2">
      <c r="B24" s="11" t="s">
        <v>169</v>
      </c>
      <c r="C24" s="137" t="s">
        <v>31</v>
      </c>
      <c r="D24" s="12">
        <v>10154</v>
      </c>
      <c r="E24" s="12">
        <v>0.1646</v>
      </c>
      <c r="F24" s="12">
        <v>1</v>
      </c>
      <c r="G24" s="24" t="s">
        <v>130</v>
      </c>
      <c r="H24" s="12"/>
      <c r="I24" s="12" t="s">
        <v>130</v>
      </c>
      <c r="J24" s="12">
        <v>13.5</v>
      </c>
      <c r="K24" s="12">
        <v>80</v>
      </c>
      <c r="L24" s="12">
        <v>0.1646</v>
      </c>
      <c r="M24" s="32">
        <f t="shared" si="1"/>
        <v>0.16875000000000001</v>
      </c>
      <c r="N24" s="56">
        <f t="shared" si="0"/>
        <v>4.1500000000000148E-3</v>
      </c>
      <c r="O24" s="57">
        <v>13.5</v>
      </c>
      <c r="P24" s="39">
        <v>0.114</v>
      </c>
      <c r="Q24" s="39">
        <f>Table1[[#This Row],[Current BOM Utilization (Kg)]]-P24</f>
        <v>5.0599999999999992E-2</v>
      </c>
      <c r="R24" s="39"/>
      <c r="S24" s="132">
        <f>IFERROR((Table1[[#This Row],[Calculated Utilization (Kg)]]-Table1[[#This Row],[Actual Part Wt (Kg)]])/Table1[[#This Row],[Calculated Utilization (Kg)]], "")</f>
        <v>0.32444444444444448</v>
      </c>
      <c r="T24" s="132"/>
      <c r="U24" s="11"/>
    </row>
    <row r="25" spans="2:22" ht="11.4" x14ac:dyDescent="0.2">
      <c r="B25" s="11" t="s">
        <v>170</v>
      </c>
      <c r="C25" s="138" t="s">
        <v>36</v>
      </c>
      <c r="D25" s="12">
        <v>11090</v>
      </c>
      <c r="E25" s="12">
        <v>4.9200000000000001E-2</v>
      </c>
      <c r="F25" s="12">
        <v>1</v>
      </c>
      <c r="G25" s="12"/>
      <c r="H25" s="24" t="s">
        <v>130</v>
      </c>
      <c r="I25" s="12" t="s">
        <v>130</v>
      </c>
      <c r="J25" s="12">
        <v>12.7</v>
      </c>
      <c r="K25" s="12">
        <v>264</v>
      </c>
      <c r="L25" s="12">
        <v>4.9200000000000001E-2</v>
      </c>
      <c r="M25" s="33">
        <f t="shared" si="1"/>
        <v>4.8106060606060604E-2</v>
      </c>
      <c r="N25" s="39">
        <f t="shared" si="0"/>
        <v>-1.0939393939393971E-3</v>
      </c>
      <c r="O25" s="57">
        <v>12</v>
      </c>
      <c r="P25" s="39">
        <v>3.9E-2</v>
      </c>
      <c r="Q25" s="39">
        <f>Table1[[#This Row],[Current BOM Utilization (Kg)]]-P25</f>
        <v>1.0200000000000001E-2</v>
      </c>
      <c r="R25" s="39"/>
      <c r="S25" s="132">
        <f>IFERROR((Table1[[#This Row],[Calculated Utilization (Kg)]]-Table1[[#This Row],[Actual Part Wt (Kg)]])/Table1[[#This Row],[Calculated Utilization (Kg)]], "")</f>
        <v>0.18929133858267713</v>
      </c>
      <c r="T25" s="132"/>
      <c r="U25" s="11"/>
    </row>
    <row r="26" spans="2:22" ht="11.4" x14ac:dyDescent="0.2">
      <c r="B26" s="11" t="s">
        <v>171</v>
      </c>
      <c r="C26" s="138" t="s">
        <v>36</v>
      </c>
      <c r="D26" s="12">
        <v>11090</v>
      </c>
      <c r="E26" s="12">
        <v>1.14E-2</v>
      </c>
      <c r="F26" s="12">
        <v>1</v>
      </c>
      <c r="G26" s="12"/>
      <c r="H26" s="24" t="s">
        <v>130</v>
      </c>
      <c r="I26" s="12" t="s">
        <v>138</v>
      </c>
      <c r="J26" s="12">
        <v>12.7</v>
      </c>
      <c r="K26" s="12">
        <v>2413</v>
      </c>
      <c r="L26" s="12">
        <v>1.14E-2</v>
      </c>
      <c r="M26" s="46">
        <f t="shared" si="1"/>
        <v>5.263157894736842E-3</v>
      </c>
      <c r="N26" s="39">
        <f t="shared" si="0"/>
        <v>-6.1368421052631584E-3</v>
      </c>
      <c r="O26" s="57">
        <v>12</v>
      </c>
      <c r="P26" s="39">
        <v>5.0000000000000001E-3</v>
      </c>
      <c r="Q26" s="39">
        <f>Table1[[#This Row],[Current BOM Utilization (Kg)]]-P26</f>
        <v>6.4000000000000003E-3</v>
      </c>
      <c r="R26" s="39"/>
      <c r="S26" s="132">
        <f>IFERROR((Table1[[#This Row],[Calculated Utilization (Kg)]]-Table1[[#This Row],[Actual Part Wt (Kg)]])/Table1[[#This Row],[Calculated Utilization (Kg)]], "")</f>
        <v>4.9999999999999961E-2</v>
      </c>
      <c r="T26" s="132"/>
      <c r="U26" s="41" t="s">
        <v>172</v>
      </c>
      <c r="V26" s="41" t="s">
        <v>144</v>
      </c>
    </row>
    <row r="27" spans="2:22" ht="11.4" x14ac:dyDescent="0.2">
      <c r="B27" s="11" t="s">
        <v>173</v>
      </c>
      <c r="C27" s="137" t="s">
        <v>110</v>
      </c>
      <c r="D27" s="12">
        <v>10155</v>
      </c>
      <c r="E27" s="12">
        <v>0.2465</v>
      </c>
      <c r="F27" s="12">
        <v>1</v>
      </c>
      <c r="G27" s="12"/>
      <c r="H27" s="24" t="s">
        <v>130</v>
      </c>
      <c r="I27" s="12" t="s">
        <v>130</v>
      </c>
      <c r="J27" s="12">
        <v>18.100000000000001</v>
      </c>
      <c r="K27" s="12">
        <v>40</v>
      </c>
      <c r="L27" s="12">
        <v>0.2465</v>
      </c>
      <c r="M27" s="51">
        <f>(J27-((M29*40)+(M30*80)+(M31*40)))/K27</f>
        <v>0.22671394395078606</v>
      </c>
      <c r="N27" s="39">
        <f t="shared" si="0"/>
        <v>-1.9786056049213935E-2</v>
      </c>
      <c r="O27" s="57">
        <v>18</v>
      </c>
      <c r="P27" s="39">
        <v>0.189</v>
      </c>
      <c r="Q27" s="39">
        <f>Table1[[#This Row],[Current BOM Utilization (Kg)]]-P27</f>
        <v>5.7499999999999996E-2</v>
      </c>
      <c r="R27" s="39"/>
      <c r="S27" s="132">
        <f>IFERROR((Table1[[#This Row],[Calculated Utilization (Kg)]]-Table1[[#This Row],[Actual Part Wt (Kg)]])/Table1[[#This Row],[Calculated Utilization (Kg)]], "")</f>
        <v>0.16635035010891441</v>
      </c>
      <c r="T27" s="132"/>
      <c r="U27" s="11" t="s">
        <v>174</v>
      </c>
    </row>
    <row r="28" spans="2:22" ht="11.4" x14ac:dyDescent="0.2">
      <c r="B28" s="11" t="s">
        <v>175</v>
      </c>
      <c r="C28" s="137" t="s">
        <v>33</v>
      </c>
      <c r="D28" s="12">
        <v>11332</v>
      </c>
      <c r="E28" s="12">
        <v>0.52669999999999995</v>
      </c>
      <c r="F28" s="12">
        <v>1</v>
      </c>
      <c r="G28" s="12"/>
      <c r="H28" s="24" t="s">
        <v>138</v>
      </c>
      <c r="I28" s="12"/>
      <c r="J28" s="12">
        <v>31.7</v>
      </c>
      <c r="K28" s="12">
        <f>6*10</f>
        <v>60</v>
      </c>
      <c r="L28" s="12">
        <v>0.52669999999999995</v>
      </c>
      <c r="M28" s="55">
        <f>J28/K28</f>
        <v>0.52833333333333332</v>
      </c>
      <c r="N28" s="43">
        <f t="shared" si="0"/>
        <v>1.6333333333333755E-3</v>
      </c>
      <c r="O28" s="57"/>
      <c r="P28" s="39">
        <v>0.47199999999999998</v>
      </c>
      <c r="Q28" s="39">
        <f>Table1[[#This Row],[Current BOM Utilization (Kg)]]-P28</f>
        <v>5.4699999999999971E-2</v>
      </c>
      <c r="R28" s="39"/>
      <c r="S28" s="132">
        <f>IFERROR((Table1[[#This Row],[Calculated Utilization (Kg)]]-Table1[[#This Row],[Actual Part Wt (Kg)]])/Table1[[#This Row],[Calculated Utilization (Kg)]], "")</f>
        <v>0.10662460567823347</v>
      </c>
      <c r="T28" s="132"/>
      <c r="U28" s="49" t="s">
        <v>176</v>
      </c>
      <c r="V28" s="41" t="s">
        <v>144</v>
      </c>
    </row>
    <row r="29" spans="2:22" ht="11.4" x14ac:dyDescent="0.2">
      <c r="B29" s="11" t="s">
        <v>149</v>
      </c>
      <c r="C29" s="137" t="s">
        <v>111</v>
      </c>
      <c r="D29" s="12">
        <v>10155</v>
      </c>
      <c r="E29" s="12">
        <v>0.14729999999999999</v>
      </c>
      <c r="F29" s="12">
        <v>1</v>
      </c>
      <c r="G29" s="12"/>
      <c r="H29" s="24" t="s">
        <v>130</v>
      </c>
      <c r="I29" s="12" t="s">
        <v>130</v>
      </c>
      <c r="J29" s="12">
        <v>18.100000000000001</v>
      </c>
      <c r="K29" s="48">
        <v>95</v>
      </c>
      <c r="L29" s="12">
        <v>0.14729999999999999</v>
      </c>
      <c r="M29" s="47">
        <f>J29/K29</f>
        <v>0.19052631578947371</v>
      </c>
      <c r="N29" s="65">
        <f t="shared" si="0"/>
        <v>4.3226315789473724E-2</v>
      </c>
      <c r="O29" s="57">
        <v>18</v>
      </c>
      <c r="P29" s="39">
        <v>0.126</v>
      </c>
      <c r="Q29" s="39">
        <f>Table1[[#This Row],[Current BOM Utilization (Kg)]]-P29</f>
        <v>2.1299999999999986E-2</v>
      </c>
      <c r="R29" s="39"/>
      <c r="S29" s="132">
        <f>IFERROR((Table1[[#This Row],[Calculated Utilization (Kg)]]-Table1[[#This Row],[Actual Part Wt (Kg)]])/Table1[[#This Row],[Calculated Utilization (Kg)]], "")</f>
        <v>0.33867403314917138</v>
      </c>
      <c r="T29" s="132"/>
      <c r="U29" s="11"/>
    </row>
    <row r="30" spans="2:22" ht="11.4" x14ac:dyDescent="0.2">
      <c r="B30" s="11" t="s">
        <v>151</v>
      </c>
      <c r="C30" s="137" t="s">
        <v>111</v>
      </c>
      <c r="D30" s="12">
        <v>10155</v>
      </c>
      <c r="E30" s="12">
        <v>1.09E-2</v>
      </c>
      <c r="F30" s="12">
        <v>2</v>
      </c>
      <c r="G30" s="12"/>
      <c r="H30" s="24" t="s">
        <v>130</v>
      </c>
      <c r="I30" s="12" t="s">
        <v>130</v>
      </c>
      <c r="J30" s="12">
        <v>18.100000000000001</v>
      </c>
      <c r="K30" s="48">
        <v>1540</v>
      </c>
      <c r="L30" s="12">
        <v>1.09E-2</v>
      </c>
      <c r="M30" s="55">
        <f>J30/K30</f>
        <v>1.1753246753246753E-2</v>
      </c>
      <c r="N30" s="56">
        <f t="shared" si="0"/>
        <v>8.5324675324675338E-4</v>
      </c>
      <c r="O30" s="57">
        <v>18</v>
      </c>
      <c r="P30" s="39">
        <v>8.0000000000000002E-3</v>
      </c>
      <c r="Q30" s="39">
        <f>Table1[[#This Row],[Current BOM Utilization (Kg)]]-P30</f>
        <v>2.8999999999999998E-3</v>
      </c>
      <c r="R30" s="39"/>
      <c r="S30" s="132">
        <f>IFERROR((Table1[[#This Row],[Calculated Utilization (Kg)]]-Table1[[#This Row],[Actual Part Wt (Kg)]])/Table1[[#This Row],[Calculated Utilization (Kg)]], "")</f>
        <v>0.31933701657458563</v>
      </c>
      <c r="T30" s="132"/>
      <c r="U30" s="11"/>
    </row>
    <row r="31" spans="2:22" ht="11.4" x14ac:dyDescent="0.2">
      <c r="B31" s="11" t="s">
        <v>153</v>
      </c>
      <c r="C31" s="137" t="s">
        <v>111</v>
      </c>
      <c r="D31" s="12">
        <v>10155</v>
      </c>
      <c r="E31" s="12">
        <v>1.341E-2</v>
      </c>
      <c r="F31" s="12">
        <v>1</v>
      </c>
      <c r="G31" s="12"/>
      <c r="H31" s="24" t="s">
        <v>130</v>
      </c>
      <c r="I31" s="12" t="s">
        <v>130</v>
      </c>
      <c r="J31" s="12">
        <v>18.100000000000001</v>
      </c>
      <c r="K31" s="48">
        <v>1540</v>
      </c>
      <c r="L31" s="12">
        <v>1.341E-2</v>
      </c>
      <c r="M31" s="55">
        <f>J31/K31</f>
        <v>1.1753246753246753E-2</v>
      </c>
      <c r="N31" s="56">
        <f t="shared" si="0"/>
        <v>-1.6567532467532467E-3</v>
      </c>
      <c r="O31" s="57">
        <v>18</v>
      </c>
      <c r="P31" s="39">
        <v>7.0000000000000001E-3</v>
      </c>
      <c r="Q31" s="39">
        <f>Table1[[#This Row],[Current BOM Utilization (Kg)]]-P31</f>
        <v>6.4099999999999999E-3</v>
      </c>
      <c r="R31" s="39"/>
      <c r="S31" s="132">
        <f>IFERROR((Table1[[#This Row],[Calculated Utilization (Kg)]]-Table1[[#This Row],[Actual Part Wt (Kg)]])/Table1[[#This Row],[Calculated Utilization (Kg)]], "")</f>
        <v>0.40441988950276242</v>
      </c>
      <c r="T31" s="132"/>
      <c r="U31" s="11"/>
    </row>
    <row r="32" spans="2:22" ht="11.4" x14ac:dyDescent="0.2">
      <c r="B32" s="11" t="s">
        <v>177</v>
      </c>
      <c r="C32" s="137" t="s">
        <v>111</v>
      </c>
      <c r="D32" s="12">
        <v>10155</v>
      </c>
      <c r="E32" s="12">
        <v>1.5599999999999999E-2</v>
      </c>
      <c r="F32" s="12">
        <v>5</v>
      </c>
      <c r="G32" s="12"/>
      <c r="H32" s="24" t="s">
        <v>130</v>
      </c>
      <c r="I32" s="12" t="s">
        <v>130</v>
      </c>
      <c r="J32" s="12">
        <v>18.100000000000001</v>
      </c>
      <c r="K32" s="12">
        <v>1164</v>
      </c>
      <c r="L32" s="12">
        <v>1.5599999999999999E-2</v>
      </c>
      <c r="M32" s="33">
        <f>J32/K32</f>
        <v>1.554982817869416E-2</v>
      </c>
      <c r="N32" s="56">
        <f t="shared" si="0"/>
        <v>-5.0171821305839207E-5</v>
      </c>
      <c r="O32" s="57">
        <v>18</v>
      </c>
      <c r="P32" s="39">
        <v>1.0999999999999999E-2</v>
      </c>
      <c r="Q32" s="39">
        <f>Table1[[#This Row],[Current BOM Utilization (Kg)]]-P32</f>
        <v>4.5999999999999999E-3</v>
      </c>
      <c r="R32" s="39"/>
      <c r="S32" s="132">
        <f>IFERROR((Table1[[#This Row],[Calculated Utilization (Kg)]]-Table1[[#This Row],[Actual Part Wt (Kg)]])/Table1[[#This Row],[Calculated Utilization (Kg)]], "")</f>
        <v>0.29259668508287306</v>
      </c>
      <c r="T32" s="132"/>
      <c r="U32" s="11"/>
    </row>
    <row r="33" spans="2:22" ht="22.8" x14ac:dyDescent="0.2">
      <c r="B33" s="11" t="s">
        <v>178</v>
      </c>
      <c r="C33" s="137" t="s">
        <v>38</v>
      </c>
      <c r="D33" s="12">
        <v>10970</v>
      </c>
      <c r="E33" s="12">
        <v>0.3836</v>
      </c>
      <c r="F33" s="12">
        <v>1</v>
      </c>
      <c r="G33" s="12"/>
      <c r="H33" s="24" t="s">
        <v>130</v>
      </c>
      <c r="I33" s="12" t="s">
        <v>130</v>
      </c>
      <c r="J33" s="12">
        <v>13.6</v>
      </c>
      <c r="K33" s="12">
        <v>35</v>
      </c>
      <c r="L33" s="12">
        <v>0.3836</v>
      </c>
      <c r="M33" s="47">
        <f>(J33-((M34*35)+(M22*35)))/K33</f>
        <v>0.36413987081052301</v>
      </c>
      <c r="N33" s="93">
        <f t="shared" si="0"/>
        <v>-1.9460129189476982E-2</v>
      </c>
      <c r="O33" s="56">
        <v>13.84</v>
      </c>
      <c r="P33" s="39">
        <v>0.25600000000000001</v>
      </c>
      <c r="Q33" s="39">
        <f>Table1[[#This Row],[Current BOM Utilization (Kg)]]-P33</f>
        <v>0.12759999999999999</v>
      </c>
      <c r="R33" s="39"/>
      <c r="S33" s="132">
        <f>IFERROR((Table1[[#This Row],[Calculated Utilization (Kg)]]-Table1[[#This Row],[Actual Part Wt (Kg)]])/Table1[[#This Row],[Calculated Utilization (Kg)]], "")</f>
        <v>0.29697344201781367</v>
      </c>
      <c r="T33" s="132"/>
      <c r="U33" s="97" t="s">
        <v>179</v>
      </c>
      <c r="V33" s="41"/>
    </row>
    <row r="34" spans="2:22" ht="11.4" x14ac:dyDescent="0.2">
      <c r="B34" s="11" t="s">
        <v>180</v>
      </c>
      <c r="C34" s="137" t="s">
        <v>38</v>
      </c>
      <c r="D34" s="12">
        <v>10970</v>
      </c>
      <c r="E34" s="12">
        <v>6.7000000000000002E-3</v>
      </c>
      <c r="F34" s="12">
        <v>1</v>
      </c>
      <c r="G34" s="12"/>
      <c r="H34" s="24" t="s">
        <v>130</v>
      </c>
      <c r="I34" s="12" t="s">
        <v>130</v>
      </c>
      <c r="J34" s="12">
        <v>13.6</v>
      </c>
      <c r="K34" s="48">
        <v>2334</v>
      </c>
      <c r="L34" s="12">
        <v>6.7000000000000002E-3</v>
      </c>
      <c r="M34" s="47">
        <f>J34/K34</f>
        <v>5.8269065981148239E-3</v>
      </c>
      <c r="N34" s="56">
        <f t="shared" si="0"/>
        <v>-8.7309340188517631E-4</v>
      </c>
      <c r="O34" s="56">
        <v>13.84</v>
      </c>
      <c r="P34" s="39">
        <v>5.0000000000000001E-3</v>
      </c>
      <c r="Q34" s="39">
        <f>Table1[[#This Row],[Current BOM Utilization (Kg)]]-P34</f>
        <v>1.7000000000000001E-3</v>
      </c>
      <c r="R34" s="39"/>
      <c r="S34" s="132">
        <f>IFERROR((Table1[[#This Row],[Calculated Utilization (Kg)]]-Table1[[#This Row],[Actual Part Wt (Kg)]])/Table1[[#This Row],[Calculated Utilization (Kg)]], "")</f>
        <v>0.14191176470588227</v>
      </c>
      <c r="T34" s="132"/>
      <c r="U34" s="49" t="s">
        <v>176</v>
      </c>
      <c r="V34" s="41" t="s">
        <v>144</v>
      </c>
    </row>
    <row r="35" spans="2:22" ht="11.4" x14ac:dyDescent="0.2">
      <c r="B35" s="11" t="s">
        <v>181</v>
      </c>
      <c r="C35" s="137" t="s">
        <v>40</v>
      </c>
      <c r="D35" s="12" t="s">
        <v>39</v>
      </c>
      <c r="E35" s="12">
        <v>0.55556000000000005</v>
      </c>
      <c r="F35" s="12">
        <v>1</v>
      </c>
      <c r="G35" s="12"/>
      <c r="H35" s="24" t="s">
        <v>130</v>
      </c>
      <c r="I35" s="12" t="s">
        <v>138</v>
      </c>
      <c r="J35" s="12">
        <v>10</v>
      </c>
      <c r="K35" s="12">
        <v>18</v>
      </c>
      <c r="L35" s="12">
        <v>0.55556000000000005</v>
      </c>
      <c r="M35" s="32">
        <f>J35/K35</f>
        <v>0.55555555555555558</v>
      </c>
      <c r="N35" s="56">
        <f t="shared" si="0"/>
        <v>-4.4444444444735609E-6</v>
      </c>
      <c r="O35" s="57">
        <v>10</v>
      </c>
      <c r="P35" s="39">
        <v>0.47099999999999997</v>
      </c>
      <c r="Q35" s="39">
        <f>Table1[[#This Row],[Current BOM Utilization (Kg)]]-P35</f>
        <v>8.456000000000008E-2</v>
      </c>
      <c r="R35" s="39"/>
      <c r="S35" s="132">
        <f>IFERROR((Table1[[#This Row],[Calculated Utilization (Kg)]]-Table1[[#This Row],[Actual Part Wt (Kg)]])/Table1[[#This Row],[Calculated Utilization (Kg)]], "")</f>
        <v>0.15220000000000009</v>
      </c>
      <c r="T35" s="132"/>
      <c r="U35" s="11" t="s">
        <v>182</v>
      </c>
    </row>
    <row r="36" spans="2:22" s="10" customFormat="1" ht="12" customHeight="1" x14ac:dyDescent="0.2">
      <c r="B36" s="14" t="s">
        <v>183</v>
      </c>
      <c r="C36" s="139" t="s">
        <v>41</v>
      </c>
      <c r="D36" s="13">
        <v>11442</v>
      </c>
      <c r="E36" s="13">
        <v>3.7170000000000002E-2</v>
      </c>
      <c r="F36" s="13">
        <v>2</v>
      </c>
      <c r="G36" s="13"/>
      <c r="H36" s="25" t="s">
        <v>130</v>
      </c>
      <c r="I36" s="13" t="s">
        <v>130</v>
      </c>
      <c r="J36" s="13">
        <v>17.7</v>
      </c>
      <c r="K36" s="13">
        <v>468</v>
      </c>
      <c r="L36" s="13">
        <v>3.7170000000000002E-2</v>
      </c>
      <c r="M36" s="34">
        <f>J36/K36</f>
        <v>3.7820512820512818E-2</v>
      </c>
      <c r="N36" s="56">
        <f t="shared" si="0"/>
        <v>6.5051282051281634E-4</v>
      </c>
      <c r="O36" s="57">
        <v>17.399999999999999</v>
      </c>
      <c r="P36" s="39">
        <f>P40</f>
        <v>2.9499999999999998E-2</v>
      </c>
      <c r="Q36" s="39">
        <f>Table1[[#This Row],[Current BOM Utilization (Kg)]]-P36</f>
        <v>7.6700000000000032E-3</v>
      </c>
      <c r="R36" s="39"/>
      <c r="S36" s="132">
        <f>IFERROR((Table1[[#This Row],[Calculated Utilization (Kg)]]-Table1[[#This Row],[Actual Part Wt (Kg)]])/Table1[[#This Row],[Calculated Utilization (Kg)]], "")</f>
        <v>0.22</v>
      </c>
      <c r="T36" s="132"/>
      <c r="U36" s="14"/>
    </row>
    <row r="37" spans="2:22" ht="11.4" x14ac:dyDescent="0.2">
      <c r="B37" s="11" t="s">
        <v>184</v>
      </c>
      <c r="C37" s="138" t="s">
        <v>36</v>
      </c>
      <c r="D37" s="12">
        <v>11090</v>
      </c>
      <c r="E37" s="12">
        <v>1.154E-2</v>
      </c>
      <c r="F37" s="12">
        <v>1</v>
      </c>
      <c r="G37" s="12"/>
      <c r="H37" s="24" t="s">
        <v>138</v>
      </c>
      <c r="I37" s="12"/>
      <c r="J37" s="12">
        <v>12.7</v>
      </c>
      <c r="K37" s="28">
        <v>1131</v>
      </c>
      <c r="L37" s="12">
        <v>1.154E-2</v>
      </c>
      <c r="M37" s="45">
        <f>J37/K37</f>
        <v>1.1229000884173296E-2</v>
      </c>
      <c r="N37" s="56">
        <f t="shared" si="0"/>
        <v>-3.1099911582670343E-4</v>
      </c>
      <c r="O37" s="57"/>
      <c r="P37" s="39">
        <f>P42</f>
        <v>9.5999999999999992E-3</v>
      </c>
      <c r="Q37" s="39">
        <f>Table1[[#This Row],[Current BOM Utilization (Kg)]]-P37</f>
        <v>1.9400000000000008E-3</v>
      </c>
      <c r="R37" s="203">
        <f>SUM(Q21:Q37)</f>
        <v>0.49948000000000004</v>
      </c>
      <c r="S37" s="132">
        <f>IFERROR((Table1[[#This Row],[Calculated Utilization (Kg)]]-Table1[[#This Row],[Actual Part Wt (Kg)]])/Table1[[#This Row],[Calculated Utilization (Kg)]], "")</f>
        <v>0.14507086614173226</v>
      </c>
      <c r="T37" s="198">
        <f>AVERAGE(S21:S37)</f>
        <v>0.21836419476406413</v>
      </c>
      <c r="U37" s="49" t="s">
        <v>176</v>
      </c>
      <c r="V37" s="41" t="s">
        <v>144</v>
      </c>
    </row>
    <row r="38" spans="2:22" ht="11.4" x14ac:dyDescent="0.2">
      <c r="B38" s="16" t="s">
        <v>185</v>
      </c>
      <c r="C38" s="140" t="s">
        <v>42</v>
      </c>
      <c r="D38" s="17">
        <v>11515</v>
      </c>
      <c r="E38" s="17">
        <v>0.61209999999999998</v>
      </c>
      <c r="F38" s="17">
        <v>1</v>
      </c>
      <c r="G38" s="24" t="s">
        <v>130</v>
      </c>
      <c r="H38" s="17"/>
      <c r="I38" s="17" t="s">
        <v>130</v>
      </c>
      <c r="J38" s="44">
        <v>9.16</v>
      </c>
      <c r="K38" s="17">
        <v>12</v>
      </c>
      <c r="L38" s="17">
        <v>0.61209999999999998</v>
      </c>
      <c r="M38" s="50">
        <f>(J38-(L46*10))/K38</f>
        <v>0.67589166666666667</v>
      </c>
      <c r="N38" s="64">
        <f t="shared" si="0"/>
        <v>6.3791666666666691E-2</v>
      </c>
      <c r="O38" s="56">
        <v>8.3949999999999996</v>
      </c>
      <c r="P38" s="39">
        <v>0.59399999999999997</v>
      </c>
      <c r="Q38" s="39">
        <f>Table1[[#This Row],[Current BOM Utilization (Kg)]]-P38</f>
        <v>1.8100000000000005E-2</v>
      </c>
      <c r="R38" s="39"/>
      <c r="S38" s="132">
        <f>IFERROR((Table1[[#This Row],[Calculated Utilization (Kg)]]-Table1[[#This Row],[Actual Part Wt (Kg)]])/Table1[[#This Row],[Calculated Utilization (Kg)]], "")</f>
        <v>0.12116093555426787</v>
      </c>
      <c r="T38" s="132"/>
      <c r="U38" s="42"/>
    </row>
    <row r="39" spans="2:22" ht="11.4" x14ac:dyDescent="0.2">
      <c r="B39" s="16" t="s">
        <v>186</v>
      </c>
      <c r="C39" s="140" t="s">
        <v>31</v>
      </c>
      <c r="D39" s="17">
        <v>10154</v>
      </c>
      <c r="E39" s="17">
        <v>9.4E-2</v>
      </c>
      <c r="F39" s="17">
        <v>1</v>
      </c>
      <c r="G39" s="17"/>
      <c r="H39" s="24" t="s">
        <v>130</v>
      </c>
      <c r="I39" s="17" t="s">
        <v>130</v>
      </c>
      <c r="J39" s="17">
        <v>13.5</v>
      </c>
      <c r="K39" s="17">
        <v>144</v>
      </c>
      <c r="L39" s="17">
        <v>9.4E-2</v>
      </c>
      <c r="M39" s="17">
        <f>J39/K39</f>
        <v>9.375E-2</v>
      </c>
      <c r="N39" s="56">
        <f t="shared" si="0"/>
        <v>-2.5000000000000022E-4</v>
      </c>
      <c r="O39" s="57">
        <v>13.5</v>
      </c>
      <c r="P39" s="39">
        <v>8.4000000000000005E-2</v>
      </c>
      <c r="Q39" s="39">
        <f>Table1[[#This Row],[Current BOM Utilization (Kg)]]-P39</f>
        <v>9.999999999999995E-3</v>
      </c>
      <c r="R39" s="39"/>
      <c r="S39" s="132">
        <f>IFERROR((Table1[[#This Row],[Calculated Utilization (Kg)]]-Table1[[#This Row],[Actual Part Wt (Kg)]])/Table1[[#This Row],[Calculated Utilization (Kg)]], "")</f>
        <v>0.10399999999999994</v>
      </c>
      <c r="T39" s="132"/>
      <c r="U39" s="16"/>
    </row>
    <row r="40" spans="2:22" ht="11.4" x14ac:dyDescent="0.2">
      <c r="B40" s="16" t="s">
        <v>183</v>
      </c>
      <c r="C40" s="141" t="s">
        <v>41</v>
      </c>
      <c r="D40" s="15">
        <v>11442</v>
      </c>
      <c r="E40" s="17">
        <v>3.7170000000000002E-2</v>
      </c>
      <c r="F40" s="17">
        <v>2</v>
      </c>
      <c r="G40" s="17"/>
      <c r="H40" s="24" t="s">
        <v>130</v>
      </c>
      <c r="I40" s="17" t="s">
        <v>130</v>
      </c>
      <c r="J40" s="17">
        <v>17.7</v>
      </c>
      <c r="K40" s="17">
        <v>468</v>
      </c>
      <c r="L40" s="17">
        <v>3.7170000000000002E-2</v>
      </c>
      <c r="M40" s="36">
        <f>J40/K40</f>
        <v>3.7820512820512818E-2</v>
      </c>
      <c r="N40" s="56">
        <f t="shared" si="0"/>
        <v>6.5051282051281634E-4</v>
      </c>
      <c r="O40" s="57">
        <v>17.399999999999999</v>
      </c>
      <c r="P40" s="39">
        <v>2.9499999999999998E-2</v>
      </c>
      <c r="Q40" s="39">
        <f>Table1[[#This Row],[Current BOM Utilization (Kg)]]-P40</f>
        <v>7.6700000000000032E-3</v>
      </c>
      <c r="R40" s="39"/>
      <c r="S40" s="132">
        <f>IFERROR((Table1[[#This Row],[Calculated Utilization (Kg)]]-Table1[[#This Row],[Actual Part Wt (Kg)]])/Table1[[#This Row],[Calculated Utilization (Kg)]], "")</f>
        <v>0.22</v>
      </c>
      <c r="T40" s="132"/>
      <c r="U40" s="16"/>
    </row>
    <row r="41" spans="2:22" ht="11.4" x14ac:dyDescent="0.2">
      <c r="B41" s="16" t="s">
        <v>187</v>
      </c>
      <c r="C41" s="140" t="s">
        <v>44</v>
      </c>
      <c r="D41" s="17" t="s">
        <v>43</v>
      </c>
      <c r="E41" s="17">
        <v>0.1961</v>
      </c>
      <c r="F41" s="17">
        <v>1</v>
      </c>
      <c r="G41" s="17"/>
      <c r="H41" s="24" t="s">
        <v>130</v>
      </c>
      <c r="I41" s="17" t="s">
        <v>130</v>
      </c>
      <c r="J41" s="17">
        <v>3.55</v>
      </c>
      <c r="K41" s="17">
        <v>18</v>
      </c>
      <c r="L41" s="17">
        <v>0.1961</v>
      </c>
      <c r="M41" s="36">
        <f>J41/K41</f>
        <v>0.19722222222222222</v>
      </c>
      <c r="N41" s="56">
        <f t="shared" si="0"/>
        <v>1.1222222222222189E-3</v>
      </c>
      <c r="O41" s="56">
        <v>3.53</v>
      </c>
      <c r="P41" s="39">
        <v>0.14030000000000001</v>
      </c>
      <c r="Q41" s="39">
        <f>Table1[[#This Row],[Current BOM Utilization (Kg)]]-P41</f>
        <v>5.5799999999999988E-2</v>
      </c>
      <c r="R41" s="39"/>
      <c r="S41" s="132">
        <f>IFERROR((Table1[[#This Row],[Calculated Utilization (Kg)]]-Table1[[#This Row],[Actual Part Wt (Kg)]])/Table1[[#This Row],[Calculated Utilization (Kg)]], "")</f>
        <v>0.28861971830985911</v>
      </c>
      <c r="T41" s="132"/>
      <c r="U41" s="16"/>
    </row>
    <row r="42" spans="2:22" ht="11.4" x14ac:dyDescent="0.2">
      <c r="B42" s="16" t="s">
        <v>188</v>
      </c>
      <c r="C42" s="142" t="s">
        <v>36</v>
      </c>
      <c r="D42" s="17">
        <v>11090</v>
      </c>
      <c r="E42" s="17">
        <v>1.154E-2</v>
      </c>
      <c r="F42" s="17">
        <v>1</v>
      </c>
      <c r="G42" s="17"/>
      <c r="H42" s="24" t="s">
        <v>138</v>
      </c>
      <c r="I42" s="17"/>
      <c r="J42" s="12">
        <v>12.7</v>
      </c>
      <c r="K42" s="28">
        <v>1131</v>
      </c>
      <c r="L42" s="12">
        <v>1.154E-2</v>
      </c>
      <c r="M42" s="45">
        <f>J42/K42</f>
        <v>1.1229000884173296E-2</v>
      </c>
      <c r="N42" s="56">
        <f t="shared" si="0"/>
        <v>-3.1099911582670343E-4</v>
      </c>
      <c r="O42" s="57"/>
      <c r="P42" s="39">
        <v>9.5999999999999992E-3</v>
      </c>
      <c r="Q42" s="39">
        <f>Table1[[#This Row],[Current BOM Utilization (Kg)]]-P42</f>
        <v>1.9400000000000008E-3</v>
      </c>
      <c r="R42" s="39"/>
      <c r="S42" s="132">
        <f>IFERROR((Table1[[#This Row],[Calculated Utilization (Kg)]]-Table1[[#This Row],[Actual Part Wt (Kg)]])/Table1[[#This Row],[Calculated Utilization (Kg)]], "")</f>
        <v>0.14507086614173226</v>
      </c>
      <c r="T42" s="132"/>
      <c r="U42" s="49" t="s">
        <v>189</v>
      </c>
      <c r="V42" s="41" t="s">
        <v>144</v>
      </c>
    </row>
    <row r="43" spans="2:22" ht="11.4" x14ac:dyDescent="0.2">
      <c r="B43" s="16" t="s">
        <v>190</v>
      </c>
      <c r="C43" s="140" t="s">
        <v>28</v>
      </c>
      <c r="D43" s="17">
        <v>11279</v>
      </c>
      <c r="E43" s="17">
        <v>0.35620000000000002</v>
      </c>
      <c r="F43" s="17">
        <v>1</v>
      </c>
      <c r="G43" s="17"/>
      <c r="H43" s="24"/>
      <c r="I43" s="17"/>
      <c r="J43" s="17"/>
      <c r="K43" s="17"/>
      <c r="L43" s="153">
        <v>0.35620000000000002</v>
      </c>
      <c r="M43" s="17"/>
      <c r="N43" s="56">
        <f t="shared" si="0"/>
        <v>-0.35620000000000002</v>
      </c>
      <c r="O43" s="57"/>
      <c r="P43" s="39">
        <v>0.25729999999999997</v>
      </c>
      <c r="Q43" s="39">
        <f>Table1[[#This Row],[Current BOM Utilization (Kg)]]-P43</f>
        <v>9.8900000000000043E-2</v>
      </c>
      <c r="R43" s="39"/>
      <c r="S43" s="132" t="str">
        <f>IFERROR((Table1[[#This Row],[Calculated Utilization (Kg)]]-Table1[[#This Row],[Actual Part Wt (Kg)]])/Table1[[#This Row],[Calculated Utilization (Kg)]], "")</f>
        <v/>
      </c>
      <c r="T43" s="132"/>
      <c r="U43" s="16"/>
    </row>
    <row r="44" spans="2:22" ht="11.4" x14ac:dyDescent="0.2">
      <c r="B44" s="16" t="s">
        <v>191</v>
      </c>
      <c r="C44" s="140" t="s">
        <v>28</v>
      </c>
      <c r="D44" s="17">
        <v>11279</v>
      </c>
      <c r="E44" s="17">
        <v>1.3299999999999999E-2</v>
      </c>
      <c r="F44" s="17">
        <v>3</v>
      </c>
      <c r="G44" s="17"/>
      <c r="H44" s="24"/>
      <c r="I44" s="17"/>
      <c r="J44" s="17"/>
      <c r="K44" s="17"/>
      <c r="L44" s="153">
        <v>1.3299999999999999E-2</v>
      </c>
      <c r="M44" s="17"/>
      <c r="N44" s="56">
        <f t="shared" si="0"/>
        <v>-1.3299999999999999E-2</v>
      </c>
      <c r="O44" s="57"/>
      <c r="P44" s="56">
        <v>0.01</v>
      </c>
      <c r="Q44" s="56">
        <f>Table1[[#This Row],[Current BOM Utilization (Kg)]]-P44</f>
        <v>3.2999999999999991E-3</v>
      </c>
      <c r="R44" s="56"/>
      <c r="S44" s="132" t="str">
        <f>IFERROR((Table1[[#This Row],[Calculated Utilization (Kg)]]-Table1[[#This Row],[Actual Part Wt (Kg)]])/Table1[[#This Row],[Calculated Utilization (Kg)]], "")</f>
        <v/>
      </c>
      <c r="T44" s="132"/>
      <c r="U44" s="16" t="s">
        <v>176</v>
      </c>
    </row>
    <row r="45" spans="2:22" ht="11.4" x14ac:dyDescent="0.2">
      <c r="B45" s="16" t="s">
        <v>192</v>
      </c>
      <c r="C45" s="140" t="s">
        <v>28</v>
      </c>
      <c r="D45" s="17">
        <v>11279</v>
      </c>
      <c r="E45" s="17">
        <v>0.11070000000000001</v>
      </c>
      <c r="F45" s="17">
        <v>1</v>
      </c>
      <c r="G45" s="17"/>
      <c r="H45" s="24"/>
      <c r="I45" s="17"/>
      <c r="J45" s="17">
        <v>12.8</v>
      </c>
      <c r="K45" s="17">
        <v>127</v>
      </c>
      <c r="L45" s="153">
        <v>0.11070000000000001</v>
      </c>
      <c r="M45" s="36">
        <f>Table1[[#This Row],[Sheet Weight
(Kg)]]/Table1[[#This Row],[Parts/ Sheet]]</f>
        <v>0.10078740157480316</v>
      </c>
      <c r="N45" s="56">
        <f t="shared" si="0"/>
        <v>-9.9125984251968446E-3</v>
      </c>
      <c r="O45" s="57"/>
      <c r="P45" s="39">
        <v>8.9800000000000005E-2</v>
      </c>
      <c r="Q45" s="39">
        <f>Table1[[#This Row],[Current BOM Utilization (Kg)]]-P45</f>
        <v>2.0900000000000002E-2</v>
      </c>
      <c r="R45" s="39"/>
      <c r="S45" s="132">
        <f>IFERROR((Table1[[#This Row],[Calculated Utilization (Kg)]]-Table1[[#This Row],[Actual Part Wt (Kg)]])/Table1[[#This Row],[Calculated Utilization (Kg)]], "")</f>
        <v>0.10901562500000006</v>
      </c>
      <c r="T45" s="132"/>
      <c r="U45" s="16"/>
    </row>
    <row r="46" spans="2:22" ht="11.4" x14ac:dyDescent="0.2">
      <c r="B46" s="16" t="s">
        <v>193</v>
      </c>
      <c r="C46" s="140" t="s">
        <v>42</v>
      </c>
      <c r="D46" s="17">
        <v>11515</v>
      </c>
      <c r="E46" s="17">
        <v>0.10493</v>
      </c>
      <c r="F46" s="17">
        <v>1</v>
      </c>
      <c r="G46" s="24" t="s">
        <v>130</v>
      </c>
      <c r="H46" s="17"/>
      <c r="I46" s="17" t="s">
        <v>130</v>
      </c>
      <c r="J46" s="35">
        <v>9.16</v>
      </c>
      <c r="K46" s="17"/>
      <c r="L46" s="17">
        <v>0.10493</v>
      </c>
      <c r="M46" s="28" t="s">
        <v>160</v>
      </c>
      <c r="N46" s="56" t="str">
        <f t="shared" si="0"/>
        <v/>
      </c>
      <c r="O46" s="57"/>
      <c r="P46" s="39">
        <v>7.5200000000000003E-2</v>
      </c>
      <c r="Q46" s="39">
        <f>Table1[[#This Row],[Current BOM Utilization (Kg)]]-P46</f>
        <v>2.9729999999999993E-2</v>
      </c>
      <c r="R46" s="39"/>
      <c r="S46" s="132" t="str">
        <f>IFERROR((Table1[[#This Row],[Calculated Utilization (Kg)]]-Table1[[#This Row],[Actual Part Wt (Kg)]])/Table1[[#This Row],[Calculated Utilization (Kg)]], "")</f>
        <v/>
      </c>
      <c r="T46" s="132"/>
      <c r="U46" s="16" t="s">
        <v>194</v>
      </c>
    </row>
    <row r="47" spans="2:22" ht="11.4" x14ac:dyDescent="0.2">
      <c r="B47" s="16" t="s">
        <v>195</v>
      </c>
      <c r="C47" s="140" t="s">
        <v>31</v>
      </c>
      <c r="D47" s="17">
        <v>10154</v>
      </c>
      <c r="E47" s="17">
        <v>3.5999999999999997E-2</v>
      </c>
      <c r="F47" s="17">
        <v>1</v>
      </c>
      <c r="G47" s="24" t="s">
        <v>130</v>
      </c>
      <c r="H47" s="17"/>
      <c r="I47" s="17" t="s">
        <v>130</v>
      </c>
      <c r="J47" s="17">
        <v>13.5</v>
      </c>
      <c r="K47" s="17">
        <v>378</v>
      </c>
      <c r="L47" s="17">
        <v>3.5999999999999997E-2</v>
      </c>
      <c r="M47" s="36">
        <f>J47/K47</f>
        <v>3.5714285714285712E-2</v>
      </c>
      <c r="N47" s="56">
        <f t="shared" si="0"/>
        <v>-2.8571428571428498E-4</v>
      </c>
      <c r="O47" s="57">
        <v>13.5</v>
      </c>
      <c r="P47" s="39">
        <v>2.9600000000000001E-2</v>
      </c>
      <c r="Q47" s="39">
        <f>Table1[[#This Row],[Current BOM Utilization (Kg)]]-P47</f>
        <v>6.399999999999996E-3</v>
      </c>
      <c r="R47" s="39"/>
      <c r="S47" s="132">
        <f>IFERROR((Table1[[#This Row],[Calculated Utilization (Kg)]]-Table1[[#This Row],[Actual Part Wt (Kg)]])/Table1[[#This Row],[Calculated Utilization (Kg)]], "")</f>
        <v>0.17119999999999991</v>
      </c>
      <c r="T47" s="132"/>
      <c r="U47" s="16"/>
    </row>
    <row r="48" spans="2:22" ht="11.4" x14ac:dyDescent="0.2">
      <c r="B48" s="18" t="s">
        <v>196</v>
      </c>
      <c r="C48" s="140" t="s">
        <v>46</v>
      </c>
      <c r="D48" s="17" t="s">
        <v>45</v>
      </c>
      <c r="E48" s="17">
        <v>0.44950000000000001</v>
      </c>
      <c r="F48" s="17">
        <v>1</v>
      </c>
      <c r="G48" s="17"/>
      <c r="H48" s="24" t="s">
        <v>130</v>
      </c>
      <c r="I48" s="17" t="s">
        <v>130</v>
      </c>
      <c r="J48" s="17">
        <v>29.8</v>
      </c>
      <c r="K48" s="17">
        <v>66</v>
      </c>
      <c r="L48" s="17">
        <v>0.44950000000000001</v>
      </c>
      <c r="M48" s="36">
        <f>J48/K48</f>
        <v>0.45151515151515154</v>
      </c>
      <c r="N48" s="56">
        <f t="shared" si="0"/>
        <v>2.0151515151515254E-3</v>
      </c>
      <c r="O48" s="57"/>
      <c r="P48" s="130">
        <v>0.39029999999999998</v>
      </c>
      <c r="Q48" s="130">
        <f>Table1[[#This Row],[Current BOM Utilization (Kg)]]-P48</f>
        <v>5.920000000000003E-2</v>
      </c>
      <c r="R48" s="39"/>
      <c r="S48" s="132">
        <f>(M48-(P48+P62))/M48</f>
        <v>0.12062751677852362</v>
      </c>
      <c r="T48" s="132"/>
      <c r="U48" s="16"/>
    </row>
    <row r="49" spans="2:22" ht="11.4" x14ac:dyDescent="0.2">
      <c r="B49" s="16" t="s">
        <v>197</v>
      </c>
      <c r="C49" s="140" t="s">
        <v>111</v>
      </c>
      <c r="D49" s="17">
        <v>10155</v>
      </c>
      <c r="E49" s="4">
        <v>7.8899999999999998E-2</v>
      </c>
      <c r="F49" s="17">
        <v>1</v>
      </c>
      <c r="G49" s="17"/>
      <c r="H49" s="24" t="s">
        <v>130</v>
      </c>
      <c r="I49" s="17" t="s">
        <v>130</v>
      </c>
      <c r="J49" s="17">
        <v>18.100000000000001</v>
      </c>
      <c r="K49" s="12">
        <v>230</v>
      </c>
      <c r="L49" s="4">
        <v>7.8899999999999998E-2</v>
      </c>
      <c r="M49" s="37">
        <f>J49/K49</f>
        <v>7.8695652173913055E-2</v>
      </c>
      <c r="N49" s="56">
        <f t="shared" si="0"/>
        <v>-2.0434782608694246E-4</v>
      </c>
      <c r="O49" s="57">
        <v>18</v>
      </c>
      <c r="P49" s="39">
        <v>7.4800000000000005E-2</v>
      </c>
      <c r="Q49" s="39">
        <f>Table1[[#This Row],[Current BOM Utilization (Kg)]]-P49</f>
        <v>4.0999999999999925E-3</v>
      </c>
      <c r="R49" s="39"/>
      <c r="S49" s="132">
        <f>IFERROR((Table1[[#This Row],[Calculated Utilization (Kg)]]-Table1[[#This Row],[Actual Part Wt (Kg)]])/Table1[[#This Row],[Calculated Utilization (Kg)]], "")</f>
        <v>4.9502762430939304E-2</v>
      </c>
      <c r="T49" s="132"/>
      <c r="U49" s="16"/>
    </row>
    <row r="50" spans="2:22" ht="11.4" x14ac:dyDescent="0.2">
      <c r="B50" s="16" t="s">
        <v>198</v>
      </c>
      <c r="C50" s="140" t="s">
        <v>47</v>
      </c>
      <c r="D50" s="17">
        <v>11226</v>
      </c>
      <c r="E50" s="17">
        <v>9.3299999999999994E-2</v>
      </c>
      <c r="F50" s="17">
        <v>1</v>
      </c>
      <c r="G50" s="17"/>
      <c r="H50" s="24" t="s">
        <v>130</v>
      </c>
      <c r="I50" s="17" t="s">
        <v>130</v>
      </c>
      <c r="J50" s="17">
        <v>27.3</v>
      </c>
      <c r="K50" s="17">
        <v>288</v>
      </c>
      <c r="L50" s="17">
        <v>9.3299999999999994E-2</v>
      </c>
      <c r="M50" s="37">
        <f>J50/K50</f>
        <v>9.4791666666666663E-2</v>
      </c>
      <c r="N50" s="56">
        <f t="shared" si="0"/>
        <v>1.4916666666666689E-3</v>
      </c>
      <c r="O50" s="43">
        <v>27.068000000000001</v>
      </c>
      <c r="P50" s="39">
        <v>7.7600000000000002E-2</v>
      </c>
      <c r="Q50" s="39">
        <f>Table1[[#This Row],[Current BOM Utilization (Kg)]]-P50</f>
        <v>1.5699999999999992E-2</v>
      </c>
      <c r="R50" s="39"/>
      <c r="S50" s="132">
        <f>IFERROR((Table1[[#This Row],[Calculated Utilization (Kg)]]-Table1[[#This Row],[Actual Part Wt (Kg)]])/Table1[[#This Row],[Calculated Utilization (Kg)]], "")</f>
        <v>0.1813626373626373</v>
      </c>
      <c r="T50" s="132"/>
      <c r="U50" s="16"/>
    </row>
    <row r="51" spans="2:22" ht="11.4" x14ac:dyDescent="0.2">
      <c r="B51" s="16" t="s">
        <v>199</v>
      </c>
      <c r="C51" s="140" t="s">
        <v>31</v>
      </c>
      <c r="D51" s="17">
        <v>10154</v>
      </c>
      <c r="E51" s="17">
        <v>0.32100000000000001</v>
      </c>
      <c r="F51" s="17">
        <v>1</v>
      </c>
      <c r="G51" s="17"/>
      <c r="H51" s="24" t="s">
        <v>130</v>
      </c>
      <c r="I51" s="17" t="s">
        <v>130</v>
      </c>
      <c r="J51" s="17">
        <v>13.5</v>
      </c>
      <c r="K51" s="17">
        <v>33</v>
      </c>
      <c r="L51" s="17">
        <v>0.32100000000000001</v>
      </c>
      <c r="M51" s="47">
        <f>(J51-((L52*K51*5)+(L55*K51)+(L56*K51)))/K51</f>
        <v>0.31638090909090905</v>
      </c>
      <c r="N51" s="56">
        <f t="shared" si="0"/>
        <v>-4.6190909090909615E-3</v>
      </c>
      <c r="O51" s="57">
        <v>13.5</v>
      </c>
      <c r="P51" s="39">
        <v>0.25259999999999999</v>
      </c>
      <c r="Q51" s="39">
        <f>Table1[[#This Row],[Current BOM Utilization (Kg)]]-P51</f>
        <v>6.8400000000000016E-2</v>
      </c>
      <c r="R51" s="39"/>
      <c r="S51" s="132">
        <f>IFERROR((Table1[[#This Row],[Calculated Utilization (Kg)]]-Table1[[#This Row],[Actual Part Wt (Kg)]])/Table1[[#This Row],[Calculated Utilization (Kg)]], "")</f>
        <v>0.20159531519830806</v>
      </c>
      <c r="T51" s="132"/>
      <c r="U51" s="49" t="s">
        <v>200</v>
      </c>
      <c r="V51" s="41" t="s">
        <v>144</v>
      </c>
    </row>
    <row r="52" spans="2:22" ht="11.4" x14ac:dyDescent="0.2">
      <c r="B52" s="16" t="s">
        <v>201</v>
      </c>
      <c r="C52" s="140" t="s">
        <v>31</v>
      </c>
      <c r="D52" s="17">
        <v>10154</v>
      </c>
      <c r="E52" s="17">
        <v>1.09E-2</v>
      </c>
      <c r="F52" s="17">
        <v>5</v>
      </c>
      <c r="G52" s="17"/>
      <c r="H52" s="24" t="s">
        <v>130</v>
      </c>
      <c r="I52" s="17"/>
      <c r="J52" s="17">
        <v>13.5</v>
      </c>
      <c r="K52" s="17">
        <v>1243</v>
      </c>
      <c r="L52" s="17">
        <v>1.09E-2</v>
      </c>
      <c r="M52" s="55">
        <f>J52/K52</f>
        <v>1.0860820595333869E-2</v>
      </c>
      <c r="N52" s="56">
        <f t="shared" si="0"/>
        <v>-3.9179404666130763E-5</v>
      </c>
      <c r="O52" s="57">
        <v>13.5</v>
      </c>
      <c r="P52" s="39">
        <v>8.3000000000000001E-3</v>
      </c>
      <c r="Q52" s="39">
        <f>Table1[[#This Row],[Current BOM Utilization (Kg)]]-P52</f>
        <v>2.5999999999999999E-3</v>
      </c>
      <c r="R52" s="39"/>
      <c r="S52" s="132">
        <f>IFERROR((Table1[[#This Row],[Calculated Utilization (Kg)]]-Table1[[#This Row],[Actual Part Wt (Kg)]])/Table1[[#This Row],[Calculated Utilization (Kg)]], "")</f>
        <v>0.23578518518518515</v>
      </c>
      <c r="T52" s="132"/>
      <c r="U52" s="49" t="s">
        <v>202</v>
      </c>
      <c r="V52" s="41" t="s">
        <v>144</v>
      </c>
    </row>
    <row r="53" spans="2:22" ht="11.4" x14ac:dyDescent="0.2">
      <c r="B53" s="16" t="s">
        <v>203</v>
      </c>
      <c r="C53" s="140" t="s">
        <v>47</v>
      </c>
      <c r="D53" s="17">
        <v>11226</v>
      </c>
      <c r="E53" s="17">
        <v>0.38571</v>
      </c>
      <c r="F53" s="17">
        <v>1</v>
      </c>
      <c r="G53" s="17"/>
      <c r="H53" s="24" t="s">
        <v>130</v>
      </c>
      <c r="I53" s="17" t="s">
        <v>130</v>
      </c>
      <c r="J53" s="17">
        <v>27.3</v>
      </c>
      <c r="K53" s="17">
        <v>70</v>
      </c>
      <c r="L53" s="17">
        <v>0.38571</v>
      </c>
      <c r="M53" s="36">
        <f>J53/K53</f>
        <v>0.39</v>
      </c>
      <c r="N53" s="56">
        <f t="shared" si="0"/>
        <v>4.290000000000016E-3</v>
      </c>
      <c r="O53" s="43">
        <v>27.068000000000001</v>
      </c>
      <c r="P53" s="131">
        <v>0.32700000000000001</v>
      </c>
      <c r="Q53" s="131">
        <f>Table1[[#This Row],[Current BOM Utilization (Kg)]]-P53</f>
        <v>5.8709999999999984E-2</v>
      </c>
      <c r="R53" s="39"/>
      <c r="S53" s="132">
        <f>(M53-(P53+P67))/M53</f>
        <v>0.16153846153846155</v>
      </c>
      <c r="T53" s="132"/>
      <c r="U53" s="16"/>
    </row>
    <row r="54" spans="2:22" ht="11.4" x14ac:dyDescent="0.2">
      <c r="B54" s="16" t="s">
        <v>204</v>
      </c>
      <c r="C54" s="140" t="s">
        <v>31</v>
      </c>
      <c r="D54" s="17">
        <v>10154</v>
      </c>
      <c r="E54" s="17">
        <v>0.14099999999999999</v>
      </c>
      <c r="F54" s="17">
        <v>1</v>
      </c>
      <c r="G54" s="17"/>
      <c r="H54" s="24" t="s">
        <v>130</v>
      </c>
      <c r="I54" s="17" t="s">
        <v>130</v>
      </c>
      <c r="J54" s="17">
        <v>13.5</v>
      </c>
      <c r="K54" s="17">
        <v>96</v>
      </c>
      <c r="L54" s="17">
        <v>0.14099999999999999</v>
      </c>
      <c r="M54" s="36">
        <f>J54/K54</f>
        <v>0.140625</v>
      </c>
      <c r="N54" s="56">
        <f t="shared" si="0"/>
        <v>-3.7499999999998646E-4</v>
      </c>
      <c r="O54" s="57">
        <v>13.5</v>
      </c>
      <c r="P54" s="39">
        <v>0.1163</v>
      </c>
      <c r="Q54" s="39">
        <f>Table1[[#This Row],[Current BOM Utilization (Kg)]]-P54</f>
        <v>2.4699999999999986E-2</v>
      </c>
      <c r="R54" s="39"/>
      <c r="S54" s="132">
        <f>IFERROR((Table1[[#This Row],[Calculated Utilization (Kg)]]-Table1[[#This Row],[Actual Part Wt (Kg)]])/Table1[[#This Row],[Calculated Utilization (Kg)]], "")</f>
        <v>0.17297777777777779</v>
      </c>
      <c r="T54" s="132"/>
      <c r="U54" s="16"/>
    </row>
    <row r="55" spans="2:22" ht="11.4" x14ac:dyDescent="0.2">
      <c r="B55" s="16" t="s">
        <v>205</v>
      </c>
      <c r="C55" s="140" t="s">
        <v>31</v>
      </c>
      <c r="D55" s="17">
        <v>10154</v>
      </c>
      <c r="E55" s="17">
        <v>3.0499999999999999E-2</v>
      </c>
      <c r="F55" s="17">
        <v>1</v>
      </c>
      <c r="G55" s="17"/>
      <c r="H55" s="24" t="s">
        <v>130</v>
      </c>
      <c r="I55" s="17"/>
      <c r="J55" s="17">
        <v>13.5</v>
      </c>
      <c r="K55" s="48">
        <v>536</v>
      </c>
      <c r="L55" s="17">
        <v>3.0499999999999999E-2</v>
      </c>
      <c r="M55" s="55">
        <f>J55/K55</f>
        <v>2.5186567164179104E-2</v>
      </c>
      <c r="N55" s="56">
        <f t="shared" si="0"/>
        <v>-5.313432835820895E-3</v>
      </c>
      <c r="O55" s="57">
        <v>13.5</v>
      </c>
      <c r="P55" s="39">
        <v>2.2599999999999999E-2</v>
      </c>
      <c r="Q55" s="39">
        <f>Table1[[#This Row],[Current BOM Utilization (Kg)]]-P55</f>
        <v>7.9000000000000008E-3</v>
      </c>
      <c r="R55" s="39"/>
      <c r="S55" s="132">
        <f>IFERROR((Table1[[#This Row],[Calculated Utilization (Kg)]]-Table1[[#This Row],[Actual Part Wt (Kg)]])/Table1[[#This Row],[Calculated Utilization (Kg)]], "")</f>
        <v>0.10269629629629634</v>
      </c>
      <c r="T55" s="132"/>
      <c r="U55" s="16" t="s">
        <v>206</v>
      </c>
    </row>
    <row r="56" spans="2:22" ht="11.4" x14ac:dyDescent="0.2">
      <c r="B56" s="16" t="s">
        <v>207</v>
      </c>
      <c r="C56" s="140" t="s">
        <v>31</v>
      </c>
      <c r="D56" s="17">
        <v>10154</v>
      </c>
      <c r="E56" s="17">
        <v>7.7099999999999998E-3</v>
      </c>
      <c r="F56" s="17">
        <v>1</v>
      </c>
      <c r="G56" s="17"/>
      <c r="H56" s="24" t="s">
        <v>130</v>
      </c>
      <c r="I56" s="17"/>
      <c r="J56" s="17">
        <v>13.5</v>
      </c>
      <c r="K56" s="48">
        <v>2035</v>
      </c>
      <c r="L56" s="17">
        <v>7.7099999999999998E-3</v>
      </c>
      <c r="M56" s="55">
        <f>J56/K56</f>
        <v>6.633906633906634E-3</v>
      </c>
      <c r="N56" s="56">
        <f t="shared" si="0"/>
        <v>-1.0760933660933659E-3</v>
      </c>
      <c r="O56" s="57">
        <v>13.5</v>
      </c>
      <c r="P56" s="39">
        <v>6.0000000000000001E-3</v>
      </c>
      <c r="Q56" s="39">
        <f>Table1[[#This Row],[Current BOM Utilization (Kg)]]-P56</f>
        <v>1.7099999999999997E-3</v>
      </c>
      <c r="R56" s="39"/>
      <c r="S56" s="132">
        <f>IFERROR((Table1[[#This Row],[Calculated Utilization (Kg)]]-Table1[[#This Row],[Actual Part Wt (Kg)]])/Table1[[#This Row],[Calculated Utilization (Kg)]], "")</f>
        <v>9.5555555555555546E-2</v>
      </c>
      <c r="T56" s="132"/>
      <c r="U56" s="16"/>
    </row>
    <row r="57" spans="2:22" ht="11.4" x14ac:dyDescent="0.2">
      <c r="B57" s="16" t="s">
        <v>208</v>
      </c>
      <c r="C57" s="140" t="s">
        <v>49</v>
      </c>
      <c r="D57" s="17">
        <v>11291</v>
      </c>
      <c r="E57" s="17">
        <v>4.02E-2</v>
      </c>
      <c r="F57" s="17">
        <v>2</v>
      </c>
      <c r="G57" s="17"/>
      <c r="H57" s="17"/>
      <c r="I57" s="17"/>
      <c r="J57" s="17">
        <v>0.2379</v>
      </c>
      <c r="K57" s="17"/>
      <c r="L57" s="17">
        <v>4.02E-2</v>
      </c>
      <c r="M57" s="17"/>
      <c r="N57" s="56">
        <f t="shared" si="0"/>
        <v>-4.02E-2</v>
      </c>
      <c r="O57" s="57"/>
      <c r="P57" s="39">
        <v>3.1600000000000003E-2</v>
      </c>
      <c r="Q57" s="39">
        <f>Table1[[#This Row],[Current BOM Utilization (Kg)]]-P57</f>
        <v>8.5999999999999965E-3</v>
      </c>
      <c r="R57" s="39"/>
      <c r="S57" s="132" t="str">
        <f>IFERROR((Table1[[#This Row],[Calculated Utilization (Kg)]]-Table1[[#This Row],[Actual Part Wt (Kg)]])/Table1[[#This Row],[Calculated Utilization (Kg)]], "")</f>
        <v/>
      </c>
      <c r="T57" s="132"/>
      <c r="U57" s="16"/>
    </row>
    <row r="58" spans="2:22" ht="11.4" x14ac:dyDescent="0.2">
      <c r="B58" s="19" t="s">
        <v>209</v>
      </c>
      <c r="C58" s="140" t="s">
        <v>50</v>
      </c>
      <c r="D58" s="17">
        <v>11290</v>
      </c>
      <c r="E58" s="17">
        <v>5.5500000000000001E-2</v>
      </c>
      <c r="F58" s="20">
        <v>1</v>
      </c>
      <c r="G58" s="17"/>
      <c r="H58" s="17"/>
      <c r="I58" s="17"/>
      <c r="J58" s="17">
        <v>0.1308</v>
      </c>
      <c r="K58" s="17"/>
      <c r="L58" s="17">
        <v>5.5500000000000001E-2</v>
      </c>
      <c r="M58" s="17"/>
      <c r="N58" s="56">
        <f t="shared" si="0"/>
        <v>-5.5500000000000001E-2</v>
      </c>
      <c r="O58" s="57"/>
      <c r="P58" s="39"/>
      <c r="Q58" s="39">
        <f>Table1[[#This Row],[Current BOM Utilization (Kg)]]-P58</f>
        <v>5.5500000000000001E-2</v>
      </c>
      <c r="R58" s="39"/>
      <c r="S58" s="132" t="str">
        <f>IFERROR((Table1[[#This Row],[Calculated Utilization (Kg)]]-Table1[[#This Row],[Actual Part Wt (Kg)]])/Table1[[#This Row],[Calculated Utilization (Kg)]], "")</f>
        <v/>
      </c>
      <c r="T58" s="199">
        <f>AVERAGE(S38:S58)</f>
        <v>0.15504429082059645</v>
      </c>
      <c r="U58" s="16"/>
    </row>
    <row r="59" spans="2:22" ht="11.4" x14ac:dyDescent="0.2">
      <c r="B59" s="21" t="s">
        <v>210</v>
      </c>
      <c r="C59" s="143" t="s">
        <v>36</v>
      </c>
      <c r="D59" s="22">
        <v>11090</v>
      </c>
      <c r="E59" s="22">
        <v>0.40644999999999998</v>
      </c>
      <c r="F59" s="22">
        <v>1</v>
      </c>
      <c r="G59" s="24" t="s">
        <v>130</v>
      </c>
      <c r="H59" s="22"/>
      <c r="I59" s="22"/>
      <c r="J59" s="22">
        <v>12.7</v>
      </c>
      <c r="K59" s="22">
        <v>31</v>
      </c>
      <c r="L59" s="22">
        <v>0.40644999999999998</v>
      </c>
      <c r="M59" s="58">
        <f>J59/K59</f>
        <v>0.4096774193548387</v>
      </c>
      <c r="N59" s="39">
        <f t="shared" si="0"/>
        <v>3.2274193548387231E-3</v>
      </c>
      <c r="O59" s="57">
        <v>12.6</v>
      </c>
      <c r="P59" s="43">
        <v>0.35099999999999998</v>
      </c>
      <c r="Q59" s="43">
        <f>Table1[[#This Row],[Current BOM Utilization (Kg)]]-P59</f>
        <v>5.5449999999999999E-2</v>
      </c>
      <c r="R59" s="39"/>
      <c r="S59" s="132">
        <f>IFERROR((Table1[[#This Row],[Calculated Utilization (Kg)]]-Table1[[#This Row],[Actual Part Wt (Kg)]])/Table1[[#This Row],[Calculated Utilization (Kg)]], "")</f>
        <v>0.14322834645669294</v>
      </c>
      <c r="T59" s="132"/>
      <c r="U59" s="21"/>
    </row>
    <row r="60" spans="2:22" ht="11.4" x14ac:dyDescent="0.2">
      <c r="B60" s="21" t="s">
        <v>211</v>
      </c>
      <c r="C60" s="143" t="s">
        <v>31</v>
      </c>
      <c r="D60" s="22">
        <v>10154</v>
      </c>
      <c r="E60" s="22">
        <v>1.1520000000000001E-2</v>
      </c>
      <c r="F60" s="22">
        <v>5</v>
      </c>
      <c r="G60" s="24" t="s">
        <v>130</v>
      </c>
      <c r="H60" s="24"/>
      <c r="I60" s="22"/>
      <c r="J60" s="22">
        <v>13.5</v>
      </c>
      <c r="K60" s="22">
        <v>1232</v>
      </c>
      <c r="L60" s="22">
        <v>1.1520000000000001E-2</v>
      </c>
      <c r="M60" s="58">
        <f>J60/K60</f>
        <v>1.0957792207792208E-2</v>
      </c>
      <c r="N60" s="39">
        <f t="shared" si="0"/>
        <v>-5.6220779220779275E-4</v>
      </c>
      <c r="O60" s="57">
        <v>12.6</v>
      </c>
      <c r="P60" s="39">
        <v>6.7499999999999999E-3</v>
      </c>
      <c r="Q60" s="39">
        <f>Table1[[#This Row],[Current BOM Utilization (Kg)]]-P60</f>
        <v>4.7700000000000008E-3</v>
      </c>
      <c r="R60" s="39"/>
      <c r="S60" s="132">
        <f>IFERROR((Table1[[#This Row],[Calculated Utilization (Kg)]]-Table1[[#This Row],[Actual Part Wt (Kg)]])/Table1[[#This Row],[Calculated Utilization (Kg)]], "")</f>
        <v>0.38400000000000001</v>
      </c>
      <c r="T60" s="132"/>
      <c r="U60" s="21"/>
    </row>
    <row r="61" spans="2:22" ht="11.4" x14ac:dyDescent="0.2">
      <c r="B61" s="21" t="s">
        <v>212</v>
      </c>
      <c r="C61" s="143" t="s">
        <v>46</v>
      </c>
      <c r="D61" s="22" t="s">
        <v>45</v>
      </c>
      <c r="E61" s="22">
        <v>8.0000000000000002E-3</v>
      </c>
      <c r="F61" s="22">
        <v>1</v>
      </c>
      <c r="G61" s="22"/>
      <c r="H61" s="24" t="s">
        <v>130</v>
      </c>
      <c r="I61" s="22"/>
      <c r="J61" s="22">
        <v>29.8</v>
      </c>
      <c r="K61" s="22">
        <v>2808</v>
      </c>
      <c r="L61" s="22">
        <v>8.0000000000000002E-3</v>
      </c>
      <c r="M61" s="58">
        <f>J61/K61</f>
        <v>1.0612535612535614E-2</v>
      </c>
      <c r="N61" s="39">
        <f t="shared" si="0"/>
        <v>2.6125356125356134E-3</v>
      </c>
      <c r="O61" s="57">
        <v>12.6</v>
      </c>
      <c r="P61" s="39">
        <v>7.1999999999999998E-3</v>
      </c>
      <c r="Q61" s="39">
        <f>Table1[[#This Row],[Current BOM Utilization (Kg)]]-P61</f>
        <v>8.0000000000000036E-4</v>
      </c>
      <c r="R61" s="39"/>
      <c r="S61" s="132">
        <f>IFERROR((Table1[[#This Row],[Calculated Utilization (Kg)]]-Table1[[#This Row],[Actual Part Wt (Kg)]])/Table1[[#This Row],[Calculated Utilization (Kg)]], "")</f>
        <v>0.32155704697986587</v>
      </c>
      <c r="T61" s="132"/>
      <c r="U61" s="21"/>
    </row>
    <row r="62" spans="2:22" ht="11.4" x14ac:dyDescent="0.2">
      <c r="B62" s="21" t="s">
        <v>213</v>
      </c>
      <c r="C62" s="143" t="s">
        <v>214</v>
      </c>
      <c r="D62" s="22" t="s">
        <v>45</v>
      </c>
      <c r="E62" s="22">
        <v>0</v>
      </c>
      <c r="F62" s="22">
        <v>1</v>
      </c>
      <c r="G62" s="22"/>
      <c r="H62" s="24" t="s">
        <v>138</v>
      </c>
      <c r="I62" s="22"/>
      <c r="J62" s="22">
        <v>29.8</v>
      </c>
      <c r="K62" s="22"/>
      <c r="L62" s="22"/>
      <c r="M62" s="58"/>
      <c r="N62" s="56">
        <f t="shared" si="0"/>
        <v>0</v>
      </c>
      <c r="O62" s="57"/>
      <c r="P62" s="130">
        <v>6.7499999999999999E-3</v>
      </c>
      <c r="Q62" s="130">
        <f>Table1[[#This Row],[Current BOM Utilization (Kg)]]-P62</f>
        <v>-6.7499999999999999E-3</v>
      </c>
      <c r="R62" s="39"/>
      <c r="S62" s="132" t="str">
        <f>IFERROR((Table1[[#This Row],[Calculated Utilization (Kg)]]-Table1[[#This Row],[Actual Part Wt (Kg)]])/Table1[[#This Row],[Calculated Utilization (Kg)]], "")</f>
        <v/>
      </c>
      <c r="T62" s="132"/>
      <c r="U62" s="21"/>
    </row>
    <row r="63" spans="2:22" ht="11.4" x14ac:dyDescent="0.2">
      <c r="B63" s="21" t="s">
        <v>215</v>
      </c>
      <c r="C63" s="143" t="s">
        <v>47</v>
      </c>
      <c r="D63" s="22">
        <v>11226</v>
      </c>
      <c r="E63" s="22">
        <v>0</v>
      </c>
      <c r="F63" s="22">
        <v>1</v>
      </c>
      <c r="G63" s="22"/>
      <c r="H63" s="24" t="s">
        <v>138</v>
      </c>
      <c r="I63" s="22"/>
      <c r="J63" s="22">
        <v>27.3</v>
      </c>
      <c r="K63" s="22"/>
      <c r="L63" s="22"/>
      <c r="M63" s="58"/>
      <c r="N63" s="56">
        <f t="shared" si="0"/>
        <v>0</v>
      </c>
      <c r="O63" s="57"/>
      <c r="P63" s="131">
        <v>1.8599999999999998E-2</v>
      </c>
      <c r="Q63" s="131">
        <f>Table1[[#This Row],[Current BOM Utilization (Kg)]]-P63</f>
        <v>-1.8599999999999998E-2</v>
      </c>
      <c r="R63" s="39"/>
      <c r="S63" s="132" t="str">
        <f>IFERROR((Table1[[#This Row],[Calculated Utilization (Kg)]]-Table1[[#This Row],[Actual Part Wt (Kg)]])/Table1[[#This Row],[Calculated Utilization (Kg)]], "")</f>
        <v/>
      </c>
      <c r="T63" s="132"/>
      <c r="U63" s="21"/>
    </row>
    <row r="64" spans="2:22" ht="11.4" x14ac:dyDescent="0.2">
      <c r="B64" s="21" t="s">
        <v>216</v>
      </c>
      <c r="C64" s="143" t="s">
        <v>46</v>
      </c>
      <c r="D64" s="22" t="s">
        <v>45</v>
      </c>
      <c r="E64" s="22">
        <v>1.8599999999999998E-2</v>
      </c>
      <c r="F64" s="22">
        <v>1</v>
      </c>
      <c r="G64" s="22"/>
      <c r="H64" s="24" t="s">
        <v>130</v>
      </c>
      <c r="I64" s="22"/>
      <c r="J64" s="22">
        <v>29.8</v>
      </c>
      <c r="K64" s="22">
        <v>2054</v>
      </c>
      <c r="L64" s="22">
        <v>1.8599999999999998E-2</v>
      </c>
      <c r="M64" s="58">
        <f>J64/K64</f>
        <v>1.450827653359299E-2</v>
      </c>
      <c r="N64" s="39">
        <f t="shared" si="0"/>
        <v>-4.0917234664070087E-3</v>
      </c>
      <c r="O64" s="57"/>
      <c r="P64" s="43">
        <v>1.12E-2</v>
      </c>
      <c r="Q64" s="43">
        <f>Table1[[#This Row],[Current BOM Utilization (Kg)]]-P64</f>
        <v>7.3999999999999986E-3</v>
      </c>
      <c r="R64" s="203">
        <f>SUM(Q38:Q64)</f>
        <v>0.60293000000000008</v>
      </c>
      <c r="S64" s="132">
        <f>IFERROR((Table1[[#This Row],[Calculated Utilization (Kg)]]-Table1[[#This Row],[Actual Part Wt (Kg)]])/Table1[[#This Row],[Calculated Utilization (Kg)]], "")</f>
        <v>0.22802684563758394</v>
      </c>
      <c r="T64" s="200">
        <f>AVERAGE(S59:S64)</f>
        <v>0.2692030597685357</v>
      </c>
      <c r="U64" s="21"/>
    </row>
    <row r="65" spans="2:21" ht="11.4" hidden="1" x14ac:dyDescent="0.2">
      <c r="B65" s="52" t="s">
        <v>217</v>
      </c>
      <c r="C65" s="145" t="s">
        <v>28</v>
      </c>
      <c r="D65" s="54">
        <v>11279</v>
      </c>
      <c r="E65" s="54">
        <v>0.17399999999999999</v>
      </c>
      <c r="F65" s="54">
        <v>1</v>
      </c>
      <c r="G65" s="54"/>
      <c r="H65" s="54"/>
      <c r="I65" s="54"/>
      <c r="J65" s="54"/>
      <c r="K65" s="54"/>
      <c r="L65" s="54">
        <v>0.17399999999999999</v>
      </c>
      <c r="M65" s="53"/>
      <c r="N65" s="39">
        <f t="shared" ref="N65:N85" si="2">IFERROR(M65-L65, "")</f>
        <v>-0.17399999999999999</v>
      </c>
      <c r="O65" s="57"/>
      <c r="P65" s="57"/>
      <c r="Q65" s="57">
        <f>Table1[[#This Row],[Current BOM Utilization (Kg)]]-P65</f>
        <v>0.17399999999999999</v>
      </c>
      <c r="R65" s="39"/>
      <c r="S65" s="132" t="str">
        <f>IFERROR((Table1[[#This Row],[Calculated Utilization (Kg)]]-Table1[[#This Row],[Actual Part Wt (Kg)]])/Table1[[#This Row],[Calculated Utilization (Kg)]], "")</f>
        <v/>
      </c>
      <c r="T65" s="132"/>
      <c r="U65" s="52"/>
    </row>
    <row r="66" spans="2:21" ht="11.4" hidden="1" x14ac:dyDescent="0.2">
      <c r="B66" s="52" t="s">
        <v>218</v>
      </c>
      <c r="C66" s="145" t="s">
        <v>28</v>
      </c>
      <c r="D66" s="54">
        <v>11279</v>
      </c>
      <c r="E66" s="54">
        <v>5.6250000000000001E-2</v>
      </c>
      <c r="F66" s="54">
        <v>1</v>
      </c>
      <c r="G66" s="54"/>
      <c r="H66" s="54"/>
      <c r="I66" s="54"/>
      <c r="J66" s="54"/>
      <c r="K66" s="54"/>
      <c r="L66" s="54">
        <v>5.6250000000000001E-2</v>
      </c>
      <c r="M66" s="53"/>
      <c r="N66" s="39">
        <f t="shared" si="2"/>
        <v>-5.6250000000000001E-2</v>
      </c>
      <c r="O66" s="57"/>
      <c r="P66" s="57"/>
      <c r="Q66" s="57">
        <f>Table1[[#This Row],[Current BOM Utilization (Kg)]]-P66</f>
        <v>5.6250000000000001E-2</v>
      </c>
      <c r="R66" s="39"/>
      <c r="S66" s="132" t="str">
        <f>IFERROR((Table1[[#This Row],[Calculated Utilization (Kg)]]-Table1[[#This Row],[Actual Part Wt (Kg)]])/Table1[[#This Row],[Calculated Utilization (Kg)]], "")</f>
        <v/>
      </c>
      <c r="T66" s="132"/>
      <c r="U66" s="52"/>
    </row>
    <row r="67" spans="2:21" ht="11.4" hidden="1" x14ac:dyDescent="0.2">
      <c r="B67" s="52" t="s">
        <v>219</v>
      </c>
      <c r="C67" s="145" t="s">
        <v>28</v>
      </c>
      <c r="D67" s="54">
        <v>11279</v>
      </c>
      <c r="E67" s="54">
        <v>0.18</v>
      </c>
      <c r="F67" s="54">
        <v>1</v>
      </c>
      <c r="G67" s="54"/>
      <c r="H67" s="54"/>
      <c r="I67" s="54"/>
      <c r="J67" s="54"/>
      <c r="K67" s="54"/>
      <c r="L67" s="54">
        <v>0.18</v>
      </c>
      <c r="M67" s="53"/>
      <c r="N67" s="39">
        <f t="shared" si="2"/>
        <v>-0.18</v>
      </c>
      <c r="O67" s="57"/>
      <c r="P67" s="57"/>
      <c r="Q67" s="57">
        <f>Table1[[#This Row],[Current BOM Utilization (Kg)]]-P67</f>
        <v>0.18</v>
      </c>
      <c r="R67" s="39"/>
      <c r="S67" s="132" t="str">
        <f>IFERROR((Table1[[#This Row],[Calculated Utilization (Kg)]]-Table1[[#This Row],[Actual Part Wt (Kg)]])/Table1[[#This Row],[Calculated Utilization (Kg)]], "")</f>
        <v/>
      </c>
      <c r="T67" s="132"/>
      <c r="U67" s="52"/>
    </row>
    <row r="68" spans="2:21" ht="11.4" hidden="1" x14ac:dyDescent="0.2">
      <c r="B68" s="52" t="s">
        <v>220</v>
      </c>
      <c r="C68" s="145" t="s">
        <v>28</v>
      </c>
      <c r="D68" s="54">
        <v>11279</v>
      </c>
      <c r="E68" s="54">
        <v>1.7000000000000001E-2</v>
      </c>
      <c r="F68" s="54">
        <v>2</v>
      </c>
      <c r="G68" s="54"/>
      <c r="H68" s="54"/>
      <c r="I68" s="54"/>
      <c r="J68" s="54"/>
      <c r="K68" s="54"/>
      <c r="L68" s="54">
        <v>1.7000000000000001E-2</v>
      </c>
      <c r="M68" s="53"/>
      <c r="N68" s="39">
        <f t="shared" si="2"/>
        <v>-1.7000000000000001E-2</v>
      </c>
      <c r="O68" s="57"/>
      <c r="P68" s="57"/>
      <c r="Q68" s="57">
        <f>Table1[[#This Row],[Current BOM Utilization (Kg)]]-P68</f>
        <v>1.7000000000000001E-2</v>
      </c>
      <c r="R68" s="39"/>
      <c r="S68" s="132" t="str">
        <f>IFERROR((Table1[[#This Row],[Calculated Utilization (Kg)]]-Table1[[#This Row],[Actual Part Wt (Kg)]])/Table1[[#This Row],[Calculated Utilization (Kg)]], "")</f>
        <v/>
      </c>
      <c r="T68" s="132"/>
      <c r="U68" s="52"/>
    </row>
    <row r="69" spans="2:21" ht="11.4" hidden="1" x14ac:dyDescent="0.2">
      <c r="B69" s="52" t="s">
        <v>221</v>
      </c>
      <c r="C69" s="145" t="s">
        <v>28</v>
      </c>
      <c r="D69" s="54">
        <v>11279</v>
      </c>
      <c r="E69" s="54">
        <v>1.8499999999999999E-2</v>
      </c>
      <c r="F69" s="54">
        <v>1</v>
      </c>
      <c r="G69" s="54"/>
      <c r="H69" s="54"/>
      <c r="I69" s="54"/>
      <c r="J69" s="54"/>
      <c r="K69" s="54"/>
      <c r="L69" s="54">
        <v>1.8499999999999999E-2</v>
      </c>
      <c r="M69" s="53"/>
      <c r="N69" s="39">
        <f t="shared" si="2"/>
        <v>-1.8499999999999999E-2</v>
      </c>
      <c r="O69" s="57"/>
      <c r="P69" s="57"/>
      <c r="Q69" s="57">
        <f>Table1[[#This Row],[Current BOM Utilization (Kg)]]-P69</f>
        <v>1.8499999999999999E-2</v>
      </c>
      <c r="R69" s="39"/>
      <c r="S69" s="132" t="str">
        <f>IFERROR((Table1[[#This Row],[Calculated Utilization (Kg)]]-Table1[[#This Row],[Actual Part Wt (Kg)]])/Table1[[#This Row],[Calculated Utilization (Kg)]], "")</f>
        <v/>
      </c>
      <c r="T69" s="132"/>
      <c r="U69" s="52"/>
    </row>
    <row r="70" spans="2:21" ht="11.4" hidden="1" x14ac:dyDescent="0.2">
      <c r="B70" s="52" t="s">
        <v>222</v>
      </c>
      <c r="C70" s="145" t="s">
        <v>31</v>
      </c>
      <c r="D70" s="54">
        <v>10154</v>
      </c>
      <c r="E70" s="54">
        <v>5.6000000000000001E-2</v>
      </c>
      <c r="F70" s="54">
        <v>1</v>
      </c>
      <c r="G70" s="54"/>
      <c r="H70" s="54"/>
      <c r="I70" s="54"/>
      <c r="J70" s="54"/>
      <c r="K70" s="54"/>
      <c r="L70" s="54">
        <v>5.6000000000000001E-2</v>
      </c>
      <c r="M70" s="53"/>
      <c r="N70" s="39">
        <f t="shared" si="2"/>
        <v>-5.6000000000000001E-2</v>
      </c>
      <c r="O70" s="57"/>
      <c r="P70" s="57"/>
      <c r="Q70" s="57">
        <f>Table1[[#This Row],[Current BOM Utilization (Kg)]]-P70</f>
        <v>5.6000000000000001E-2</v>
      </c>
      <c r="R70" s="39"/>
      <c r="S70" s="132" t="str">
        <f>IFERROR((Table1[[#This Row],[Calculated Utilization (Kg)]]-Table1[[#This Row],[Actual Part Wt (Kg)]])/Table1[[#This Row],[Calculated Utilization (Kg)]], "")</f>
        <v/>
      </c>
      <c r="T70" s="132"/>
      <c r="U70" s="52"/>
    </row>
    <row r="71" spans="2:21" ht="11.4" hidden="1" x14ac:dyDescent="0.2">
      <c r="B71" s="52" t="s">
        <v>140</v>
      </c>
      <c r="C71" s="145" t="s">
        <v>111</v>
      </c>
      <c r="D71" s="54">
        <v>10155</v>
      </c>
      <c r="E71" s="54">
        <v>1.17E-2</v>
      </c>
      <c r="F71" s="54">
        <v>1</v>
      </c>
      <c r="G71" s="54"/>
      <c r="H71" s="54"/>
      <c r="I71" s="54"/>
      <c r="J71" s="54"/>
      <c r="K71" s="54"/>
      <c r="L71" s="54">
        <v>1.17E-2</v>
      </c>
      <c r="M71" s="53"/>
      <c r="N71" s="39">
        <f t="shared" si="2"/>
        <v>-1.17E-2</v>
      </c>
      <c r="O71" s="57"/>
      <c r="P71" s="57"/>
      <c r="Q71" s="57">
        <f>Table1[[#This Row],[Current BOM Utilization (Kg)]]-P71</f>
        <v>1.17E-2</v>
      </c>
      <c r="R71" s="39"/>
      <c r="S71" s="132" t="str">
        <f>IFERROR((Table1[[#This Row],[Calculated Utilization (Kg)]]-Table1[[#This Row],[Actual Part Wt (Kg)]])/Table1[[#This Row],[Calculated Utilization (Kg)]], "")</f>
        <v/>
      </c>
      <c r="T71" s="132"/>
      <c r="U71" s="52"/>
    </row>
    <row r="72" spans="2:21" ht="11.4" hidden="1" x14ac:dyDescent="0.2">
      <c r="B72" s="52" t="s">
        <v>223</v>
      </c>
      <c r="C72" s="145" t="s">
        <v>111</v>
      </c>
      <c r="D72" s="54">
        <v>10155</v>
      </c>
      <c r="E72" s="54">
        <v>0.36</v>
      </c>
      <c r="F72" s="54">
        <v>1</v>
      </c>
      <c r="G72" s="54"/>
      <c r="H72" s="54"/>
      <c r="I72" s="54"/>
      <c r="J72" s="54"/>
      <c r="K72" s="54"/>
      <c r="L72" s="54">
        <v>0.36</v>
      </c>
      <c r="M72" s="53"/>
      <c r="N72" s="39">
        <f t="shared" si="2"/>
        <v>-0.36</v>
      </c>
      <c r="O72" s="57"/>
      <c r="P72" s="57"/>
      <c r="Q72" s="57">
        <f>Table1[[#This Row],[Current BOM Utilization (Kg)]]-P72</f>
        <v>0.36</v>
      </c>
      <c r="R72" s="39"/>
      <c r="S72" s="132" t="str">
        <f>IFERROR((Table1[[#This Row],[Calculated Utilization (Kg)]]-Table1[[#This Row],[Actual Part Wt (Kg)]])/Table1[[#This Row],[Calculated Utilization (Kg)]], "")</f>
        <v/>
      </c>
      <c r="T72" s="132"/>
      <c r="U72" s="52"/>
    </row>
    <row r="73" spans="2:21" ht="11.4" hidden="1" x14ac:dyDescent="0.2">
      <c r="B73" s="52" t="s">
        <v>224</v>
      </c>
      <c r="C73" s="145" t="s">
        <v>111</v>
      </c>
      <c r="D73" s="54">
        <v>10155</v>
      </c>
      <c r="E73" s="54">
        <v>1.8100000000000002E-2</v>
      </c>
      <c r="F73" s="54">
        <v>5</v>
      </c>
      <c r="G73" s="54"/>
      <c r="H73" s="54"/>
      <c r="I73" s="54"/>
      <c r="J73" s="54"/>
      <c r="K73" s="54"/>
      <c r="L73" s="54">
        <v>1.8100000000000002E-2</v>
      </c>
      <c r="M73" s="53"/>
      <c r="N73" s="39">
        <f t="shared" si="2"/>
        <v>-1.8100000000000002E-2</v>
      </c>
      <c r="O73" s="57"/>
      <c r="P73" s="57"/>
      <c r="Q73" s="57">
        <f>Table1[[#This Row],[Current BOM Utilization (Kg)]]-P73</f>
        <v>1.8100000000000002E-2</v>
      </c>
      <c r="R73" s="39"/>
      <c r="S73" s="132" t="str">
        <f>IFERROR((Table1[[#This Row],[Calculated Utilization (Kg)]]-Table1[[#This Row],[Actual Part Wt (Kg)]])/Table1[[#This Row],[Calculated Utilization (Kg)]], "")</f>
        <v/>
      </c>
      <c r="T73" s="132"/>
      <c r="U73" s="52"/>
    </row>
    <row r="74" spans="2:21" ht="11.4" hidden="1" x14ac:dyDescent="0.2">
      <c r="B74" s="52" t="s">
        <v>225</v>
      </c>
      <c r="C74" s="145" t="s">
        <v>31</v>
      </c>
      <c r="D74" s="54">
        <v>10154</v>
      </c>
      <c r="E74" s="54">
        <v>0.1205</v>
      </c>
      <c r="F74" s="54">
        <v>1</v>
      </c>
      <c r="G74" s="54"/>
      <c r="H74" s="54"/>
      <c r="I74" s="54"/>
      <c r="J74" s="54"/>
      <c r="K74" s="54"/>
      <c r="L74" s="54">
        <v>0.1205</v>
      </c>
      <c r="M74" s="53"/>
      <c r="N74" s="39">
        <f t="shared" si="2"/>
        <v>-0.1205</v>
      </c>
      <c r="O74" s="57"/>
      <c r="P74" s="57"/>
      <c r="Q74" s="57">
        <f>Table1[[#This Row],[Current BOM Utilization (Kg)]]-P74</f>
        <v>0.1205</v>
      </c>
      <c r="R74" s="39"/>
      <c r="S74" s="132" t="str">
        <f>IFERROR((Table1[[#This Row],[Calculated Utilization (Kg)]]-Table1[[#This Row],[Actual Part Wt (Kg)]])/Table1[[#This Row],[Calculated Utilization (Kg)]], "")</f>
        <v/>
      </c>
      <c r="T74" s="132"/>
      <c r="U74" s="52"/>
    </row>
    <row r="75" spans="2:21" ht="11.4" hidden="1" x14ac:dyDescent="0.2">
      <c r="B75" s="52" t="s">
        <v>226</v>
      </c>
      <c r="C75" s="145" t="s">
        <v>48</v>
      </c>
      <c r="D75" s="54">
        <v>10074</v>
      </c>
      <c r="E75" s="54">
        <v>1.98E-3</v>
      </c>
      <c r="F75" s="54">
        <v>4</v>
      </c>
      <c r="G75" s="54"/>
      <c r="H75" s="54"/>
      <c r="I75" s="54"/>
      <c r="J75" s="152">
        <v>19</v>
      </c>
      <c r="K75" s="54"/>
      <c r="L75" s="54">
        <v>1.98E-3</v>
      </c>
      <c r="M75" s="53"/>
      <c r="N75" s="39">
        <f t="shared" si="2"/>
        <v>-1.98E-3</v>
      </c>
      <c r="O75" s="57"/>
      <c r="P75" s="57"/>
      <c r="Q75" s="57">
        <f>Table1[[#This Row],[Current BOM Utilization (Kg)]]-P75</f>
        <v>1.98E-3</v>
      </c>
      <c r="R75" s="39"/>
      <c r="S75" s="132" t="str">
        <f>IFERROR((Table1[[#This Row],[Calculated Utilization (Kg)]]-Table1[[#This Row],[Actual Part Wt (Kg)]])/Table1[[#This Row],[Calculated Utilization (Kg)]], "")</f>
        <v/>
      </c>
      <c r="T75" s="132"/>
      <c r="U75" s="52"/>
    </row>
    <row r="76" spans="2:21" ht="11.4" hidden="1" x14ac:dyDescent="0.2">
      <c r="B76" s="52" t="s">
        <v>227</v>
      </c>
      <c r="C76" s="145" t="s">
        <v>28</v>
      </c>
      <c r="D76" s="54">
        <v>11279</v>
      </c>
      <c r="E76" s="54">
        <v>0.33750000000000002</v>
      </c>
      <c r="F76" s="54">
        <v>1</v>
      </c>
      <c r="G76" s="54"/>
      <c r="H76" s="54"/>
      <c r="I76" s="54"/>
      <c r="J76" s="54"/>
      <c r="K76" s="54"/>
      <c r="L76" s="54">
        <v>0.33750000000000002</v>
      </c>
      <c r="M76" s="53"/>
      <c r="N76" s="39">
        <f t="shared" si="2"/>
        <v>-0.33750000000000002</v>
      </c>
      <c r="O76" s="57"/>
      <c r="P76" s="57"/>
      <c r="Q76" s="57">
        <f>Table1[[#This Row],[Current BOM Utilization (Kg)]]-P76</f>
        <v>0.33750000000000002</v>
      </c>
      <c r="R76" s="39"/>
      <c r="S76" s="132" t="str">
        <f>IFERROR((Table1[[#This Row],[Calculated Utilization (Kg)]]-Table1[[#This Row],[Actual Part Wt (Kg)]])/Table1[[#This Row],[Calculated Utilization (Kg)]], "")</f>
        <v/>
      </c>
      <c r="T76" s="132"/>
      <c r="U76" s="52"/>
    </row>
    <row r="77" spans="2:21" ht="11.4" hidden="1" x14ac:dyDescent="0.2">
      <c r="B77" s="52" t="s">
        <v>228</v>
      </c>
      <c r="C77" s="145" t="s">
        <v>30</v>
      </c>
      <c r="D77" s="54" t="s">
        <v>29</v>
      </c>
      <c r="E77" s="54">
        <v>2.12E-2</v>
      </c>
      <c r="F77" s="54">
        <v>3</v>
      </c>
      <c r="G77" s="54"/>
      <c r="H77" s="54"/>
      <c r="I77" s="54"/>
      <c r="J77" s="54"/>
      <c r="K77" s="54"/>
      <c r="L77" s="54">
        <v>2.12E-2</v>
      </c>
      <c r="M77" s="53"/>
      <c r="N77" s="39">
        <f t="shared" si="2"/>
        <v>-2.12E-2</v>
      </c>
      <c r="O77" s="57"/>
      <c r="P77" s="57"/>
      <c r="Q77" s="57">
        <f>Table1[[#This Row],[Current BOM Utilization (Kg)]]-P77</f>
        <v>2.12E-2</v>
      </c>
      <c r="R77" s="39"/>
      <c r="S77" s="132" t="str">
        <f>IFERROR((Table1[[#This Row],[Calculated Utilization (Kg)]]-Table1[[#This Row],[Actual Part Wt (Kg)]])/Table1[[#This Row],[Calculated Utilization (Kg)]], "")</f>
        <v/>
      </c>
      <c r="T77" s="132"/>
      <c r="U77" s="52"/>
    </row>
    <row r="78" spans="2:21" ht="11.4" hidden="1" x14ac:dyDescent="0.2">
      <c r="B78" s="52" t="s">
        <v>229</v>
      </c>
      <c r="C78" s="145" t="s">
        <v>35</v>
      </c>
      <c r="D78" s="54" t="s">
        <v>34</v>
      </c>
      <c r="E78" s="54">
        <v>0.749</v>
      </c>
      <c r="F78" s="54">
        <v>1</v>
      </c>
      <c r="G78" s="54"/>
      <c r="H78" s="54"/>
      <c r="I78" s="54"/>
      <c r="J78" s="54"/>
      <c r="K78" s="54"/>
      <c r="L78" s="54">
        <v>0.749</v>
      </c>
      <c r="M78" s="53"/>
      <c r="N78" s="39">
        <f t="shared" si="2"/>
        <v>-0.749</v>
      </c>
      <c r="O78" s="57"/>
      <c r="P78" s="57"/>
      <c r="Q78" s="57">
        <f>Table1[[#This Row],[Current BOM Utilization (Kg)]]-P78</f>
        <v>0.749</v>
      </c>
      <c r="R78" s="57"/>
      <c r="S78" s="132" t="str">
        <f>IFERROR((Table1[[#This Row],[Calculated Utilization (Kg)]]-Table1[[#This Row],[Actual Part Wt (Kg)]])/Table1[[#This Row],[Calculated Utilization (Kg)]], "")</f>
        <v/>
      </c>
      <c r="T78" s="132"/>
      <c r="U78" s="52"/>
    </row>
    <row r="79" spans="2:21" ht="11.4" hidden="1" x14ac:dyDescent="0.2">
      <c r="B79" s="52" t="s">
        <v>230</v>
      </c>
      <c r="C79" s="145" t="s">
        <v>113</v>
      </c>
      <c r="D79" s="54" t="s">
        <v>34</v>
      </c>
      <c r="E79" s="54">
        <v>4.53E-2</v>
      </c>
      <c r="F79" s="54">
        <v>1</v>
      </c>
      <c r="G79" s="54"/>
      <c r="H79" s="54"/>
      <c r="I79" s="54"/>
      <c r="J79" s="54"/>
      <c r="K79" s="54"/>
      <c r="L79" s="54">
        <v>4.53E-2</v>
      </c>
      <c r="M79" s="53"/>
      <c r="N79" s="39">
        <f t="shared" si="2"/>
        <v>-4.53E-2</v>
      </c>
      <c r="O79" s="57"/>
      <c r="P79" s="57"/>
      <c r="Q79" s="57">
        <f>Table1[[#This Row],[Current BOM Utilization (Kg)]]-P79</f>
        <v>4.53E-2</v>
      </c>
      <c r="R79" s="57"/>
      <c r="S79" s="132" t="str">
        <f>IFERROR((Table1[[#This Row],[Calculated Utilization (Kg)]]-Table1[[#This Row],[Actual Part Wt (Kg)]])/Table1[[#This Row],[Calculated Utilization (Kg)]], "")</f>
        <v/>
      </c>
      <c r="T79" s="132"/>
      <c r="U79" s="52"/>
    </row>
    <row r="80" spans="2:21" ht="11.4" hidden="1" x14ac:dyDescent="0.2">
      <c r="B80" s="52" t="s">
        <v>231</v>
      </c>
      <c r="C80" s="145" t="s">
        <v>232</v>
      </c>
      <c r="D80" s="54" t="s">
        <v>34</v>
      </c>
      <c r="E80" s="54">
        <v>2.7E-2</v>
      </c>
      <c r="F80" s="54">
        <v>1</v>
      </c>
      <c r="G80" s="54"/>
      <c r="H80" s="54"/>
      <c r="I80" s="54"/>
      <c r="J80" s="54"/>
      <c r="K80" s="54"/>
      <c r="L80" s="54">
        <v>2.7E-2</v>
      </c>
      <c r="M80" s="53"/>
      <c r="N80" s="39">
        <f t="shared" si="2"/>
        <v>-2.7E-2</v>
      </c>
      <c r="O80" s="57"/>
      <c r="P80" s="57"/>
      <c r="Q80" s="57">
        <f>Table1[[#This Row],[Current BOM Utilization (Kg)]]-P80</f>
        <v>2.7E-2</v>
      </c>
      <c r="R80" s="57"/>
      <c r="S80" s="132" t="str">
        <f>IFERROR((Table1[[#This Row],[Calculated Utilization (Kg)]]-Table1[[#This Row],[Actual Part Wt (Kg)]])/Table1[[#This Row],[Calculated Utilization (Kg)]], "")</f>
        <v/>
      </c>
      <c r="T80" s="132"/>
      <c r="U80" s="52"/>
    </row>
    <row r="81" spans="2:21" ht="11.4" hidden="1" x14ac:dyDescent="0.2">
      <c r="B81" s="52" t="s">
        <v>233</v>
      </c>
      <c r="C81" s="145" t="s">
        <v>31</v>
      </c>
      <c r="D81" s="54">
        <v>10154</v>
      </c>
      <c r="E81" s="54">
        <v>1.34E-2</v>
      </c>
      <c r="F81" s="54">
        <v>1</v>
      </c>
      <c r="G81" s="54"/>
      <c r="H81" s="54"/>
      <c r="I81" s="54"/>
      <c r="J81" s="54"/>
      <c r="K81" s="54"/>
      <c r="L81" s="54">
        <v>1.34E-2</v>
      </c>
      <c r="M81" s="53"/>
      <c r="N81" s="39">
        <f t="shared" si="2"/>
        <v>-1.34E-2</v>
      </c>
      <c r="O81" s="57"/>
      <c r="P81" s="57"/>
      <c r="Q81" s="57">
        <f>Table1[[#This Row],[Current BOM Utilization (Kg)]]-P81</f>
        <v>1.34E-2</v>
      </c>
      <c r="R81" s="57"/>
      <c r="S81" s="132" t="str">
        <f>IFERROR((Table1[[#This Row],[Calculated Utilization (Kg)]]-Table1[[#This Row],[Actual Part Wt (Kg)]])/Table1[[#This Row],[Calculated Utilization (Kg)]], "")</f>
        <v/>
      </c>
      <c r="T81" s="132"/>
      <c r="U81" s="52"/>
    </row>
    <row r="82" spans="2:21" ht="11.4" hidden="1" x14ac:dyDescent="0.2">
      <c r="B82" s="52" t="s">
        <v>234</v>
      </c>
      <c r="C82" s="145" t="s">
        <v>36</v>
      </c>
      <c r="D82" s="54">
        <v>11090</v>
      </c>
      <c r="E82" s="54">
        <v>1.154E-2</v>
      </c>
      <c r="F82" s="54">
        <v>1</v>
      </c>
      <c r="G82" s="54"/>
      <c r="H82" s="54"/>
      <c r="I82" s="54"/>
      <c r="J82" s="54"/>
      <c r="K82" s="54"/>
      <c r="L82" s="54">
        <v>1.154E-2</v>
      </c>
      <c r="M82" s="53"/>
      <c r="N82" s="39">
        <f t="shared" si="2"/>
        <v>-1.154E-2</v>
      </c>
      <c r="O82" s="57"/>
      <c r="P82" s="57"/>
      <c r="Q82" s="57">
        <f>Table1[[#This Row],[Current BOM Utilization (Kg)]]-P82</f>
        <v>1.154E-2</v>
      </c>
      <c r="R82" s="57"/>
      <c r="S82" s="132" t="str">
        <f>IFERROR((Table1[[#This Row],[Calculated Utilization (Kg)]]-Table1[[#This Row],[Actual Part Wt (Kg)]])/Table1[[#This Row],[Calculated Utilization (Kg)]], "")</f>
        <v/>
      </c>
      <c r="T82" s="132"/>
      <c r="U82" s="52"/>
    </row>
    <row r="83" spans="2:21" ht="11.4" hidden="1" x14ac:dyDescent="0.2">
      <c r="B83" s="52" t="s">
        <v>235</v>
      </c>
      <c r="C83" s="145" t="s">
        <v>37</v>
      </c>
      <c r="D83" s="54">
        <v>10073</v>
      </c>
      <c r="E83" s="54">
        <v>5.5E-2</v>
      </c>
      <c r="F83" s="54">
        <v>2</v>
      </c>
      <c r="G83" s="54"/>
      <c r="H83" s="54"/>
      <c r="I83" s="54"/>
      <c r="J83" s="54"/>
      <c r="K83" s="54"/>
      <c r="L83" s="54">
        <v>5.5E-2</v>
      </c>
      <c r="M83" s="53"/>
      <c r="N83" s="39">
        <f t="shared" si="2"/>
        <v>-5.5E-2</v>
      </c>
      <c r="O83" s="57"/>
      <c r="P83" s="57"/>
      <c r="Q83" s="57">
        <f>Table1[[#This Row],[Current BOM Utilization (Kg)]]-P83</f>
        <v>5.5E-2</v>
      </c>
      <c r="R83" s="57"/>
      <c r="S83" s="132" t="str">
        <f>IFERROR((Table1[[#This Row],[Calculated Utilization (Kg)]]-Table1[[#This Row],[Actual Part Wt (Kg)]])/Table1[[#This Row],[Calculated Utilization (Kg)]], "")</f>
        <v/>
      </c>
      <c r="T83" s="132"/>
      <c r="U83" s="52"/>
    </row>
    <row r="84" spans="2:21" ht="11.4" hidden="1" x14ac:dyDescent="0.2">
      <c r="B84" s="52" t="s">
        <v>236</v>
      </c>
      <c r="C84" s="145" t="s">
        <v>28</v>
      </c>
      <c r="D84" s="54">
        <v>11279</v>
      </c>
      <c r="E84" s="54">
        <v>0.16875000000000001</v>
      </c>
      <c r="F84" s="54">
        <v>1</v>
      </c>
      <c r="G84" s="54"/>
      <c r="H84" s="54"/>
      <c r="I84" s="54"/>
      <c r="J84" s="54"/>
      <c r="K84" s="54"/>
      <c r="L84" s="54">
        <v>0.16875000000000001</v>
      </c>
      <c r="M84" s="53"/>
      <c r="N84" s="39">
        <f t="shared" si="2"/>
        <v>-0.16875000000000001</v>
      </c>
      <c r="O84" s="57"/>
      <c r="P84" s="57"/>
      <c r="Q84" s="57">
        <f>Table1[[#This Row],[Current BOM Utilization (Kg)]]-P84</f>
        <v>0.16875000000000001</v>
      </c>
      <c r="R84" s="57"/>
      <c r="S84" s="132" t="str">
        <f>IFERROR((Table1[[#This Row],[Calculated Utilization (Kg)]]-Table1[[#This Row],[Actual Part Wt (Kg)]])/Table1[[#This Row],[Calculated Utilization (Kg)]], "")</f>
        <v/>
      </c>
      <c r="T84" s="132"/>
      <c r="U84" s="52"/>
    </row>
    <row r="85" spans="2:21" ht="11.4" hidden="1" x14ac:dyDescent="0.2">
      <c r="B85" s="52" t="s">
        <v>237</v>
      </c>
      <c r="C85" s="145" t="s">
        <v>33</v>
      </c>
      <c r="D85" s="54">
        <v>11332</v>
      </c>
      <c r="E85" s="54">
        <v>0.58520000000000005</v>
      </c>
      <c r="F85" s="54">
        <v>1</v>
      </c>
      <c r="G85" s="54"/>
      <c r="H85" s="54"/>
      <c r="I85" s="54"/>
      <c r="J85" s="54"/>
      <c r="K85" s="54"/>
      <c r="L85" s="54">
        <v>0.58520000000000005</v>
      </c>
      <c r="M85" s="53"/>
      <c r="N85" s="39">
        <f t="shared" si="2"/>
        <v>-0.58520000000000005</v>
      </c>
      <c r="O85" s="57"/>
      <c r="P85" s="57"/>
      <c r="Q85" s="57">
        <f>Table1[[#This Row],[Current BOM Utilization (Kg)]]-P85</f>
        <v>0.58520000000000005</v>
      </c>
      <c r="R85" s="57"/>
      <c r="S85" s="132" t="str">
        <f>IFERROR((Table1[[#This Row],[Calculated Utilization (Kg)]]-Table1[[#This Row],[Actual Part Wt (Kg)]])/Table1[[#This Row],[Calculated Utilization (Kg)]], "")</f>
        <v/>
      </c>
      <c r="T85" s="132"/>
      <c r="U85" s="52"/>
    </row>
    <row r="87" spans="2:21" ht="12" customHeight="1" x14ac:dyDescent="0.2">
      <c r="T87" s="201">
        <f>AVERAGE(T20,T37,T58,T64)</f>
        <v>0.21475751233663493</v>
      </c>
    </row>
  </sheetData>
  <phoneticPr fontId="7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386493AF3E8944AE3D9511EC1FF920" ma:contentTypeVersion="20" ma:contentTypeDescription="Create a new document." ma:contentTypeScope="" ma:versionID="57f133a548ef2b7d1e8ae9c6ca130d13">
  <xsd:schema xmlns:xsd="http://www.w3.org/2001/XMLSchema" xmlns:xs="http://www.w3.org/2001/XMLSchema" xmlns:p="http://schemas.microsoft.com/office/2006/metadata/properties" xmlns:ns2="bd81e3f7-188f-4c49-bea4-248864419686" xmlns:ns3="5ee0a9d5-c392-4cb1-a2cd-ff408b5fb048" xmlns:ns4="d9f8895d-0cde-4411-9763-efa1c11cf6f3" targetNamespace="http://schemas.microsoft.com/office/2006/metadata/properties" ma:root="true" ma:fieldsID="a1810e723a02c8ee9ffdecb1f2f91d75" ns2:_="" ns3:_="" ns4:_="">
    <xsd:import namespace="bd81e3f7-188f-4c49-bea4-248864419686"/>
    <xsd:import namespace="5ee0a9d5-c392-4cb1-a2cd-ff408b5fb048"/>
    <xsd:import namespace="d9f8895d-0cde-4411-9763-efa1c11cf6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IMAG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3f7-188f-4c49-bea4-2488644196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555a538-6054-436f-8393-e89247c494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MAGE" ma:index="26" nillable="true" ma:displayName="IMAGE" ma:format="Thumbnail" ma:internalName="IMAGE">
      <xsd:simpleType>
        <xsd:restriction base="dms:Unknown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e0a9d5-c392-4cb1-a2cd-ff408b5fb04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f8895d-0cde-4411-9763-efa1c11cf6f3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b947f9de-90a7-41ff-9a04-7e0f30966d01}" ma:internalName="TaxCatchAll" ma:showField="CatchAllData" ma:web="d9f8895d-0cde-4411-9763-efa1c11cf6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f8895d-0cde-4411-9763-efa1c11cf6f3" xsi:nil="true"/>
    <lcf76f155ced4ddcb4097134ff3c332f xmlns="bd81e3f7-188f-4c49-bea4-248864419686">
      <Terms xmlns="http://schemas.microsoft.com/office/infopath/2007/PartnerControls"/>
    </lcf76f155ced4ddcb4097134ff3c332f>
    <IMAGE xmlns="bd81e3f7-188f-4c49-bea4-248864419686" xsi:nil="true"/>
  </documentManagement>
</p:properties>
</file>

<file path=customXml/itemProps1.xml><?xml version="1.0" encoding="utf-8"?>
<ds:datastoreItem xmlns:ds="http://schemas.openxmlformats.org/officeDocument/2006/customXml" ds:itemID="{58FA9ED4-FADE-4D0F-8C8A-1932D6EC2D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81e3f7-188f-4c49-bea4-248864419686"/>
    <ds:schemaRef ds:uri="5ee0a9d5-c392-4cb1-a2cd-ff408b5fb048"/>
    <ds:schemaRef ds:uri="d9f8895d-0cde-4411-9763-efa1c11cf6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B066C7-08E0-4E3A-AD2B-4714D343DF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876653-09DC-4906-9380-3A0028111E28}">
  <ds:schemaRefs>
    <ds:schemaRef ds:uri="http://schemas.microsoft.com/office/2006/metadata/properties"/>
    <ds:schemaRef ds:uri="http://schemas.microsoft.com/office/infopath/2007/PartnerControls"/>
    <ds:schemaRef ds:uri="d9f8895d-0cde-4411-9763-efa1c11cf6f3"/>
    <ds:schemaRef ds:uri="bd81e3f7-188f-4c49-bea4-2488644196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 Material Planning</vt:lpstr>
      <vt:lpstr>Weekly Material Planning</vt:lpstr>
      <vt:lpstr>Week 2</vt:lpstr>
      <vt:lpstr>Cumulative Material Use</vt:lpstr>
      <vt:lpstr>Master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Ephantus Munene</dc:creator>
  <cp:keywords/>
  <dc:description/>
  <cp:lastModifiedBy>Solvin Otieno</cp:lastModifiedBy>
  <cp:revision/>
  <dcterms:created xsi:type="dcterms:W3CDTF">2015-06-05T18:17:20Z</dcterms:created>
  <dcterms:modified xsi:type="dcterms:W3CDTF">2026-09-09T13:06:45Z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0x010100CC386493AF3E8944AE3D9511EC1FF920</vt:lpwstr>
  </property>
  <property fmtid="{D5CDD505-2E9C-101B-9397-08002B2CF9AE}" pid="3" name="MediaServiceImageTags">
    <vt:lpwstr/>
  </property>
</Properties>
</file>